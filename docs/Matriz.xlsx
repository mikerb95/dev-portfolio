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Sena\testing\"/>
    </mc:Choice>
  </mc:AlternateContent>
  <xr:revisionPtr revIDLastSave="0" documentId="13_ncr:1_{33C555DB-6F06-4896-97C2-5C2AA1FB4D7A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Instrucciones" sheetId="1" r:id="rId1"/>
    <sheet name="M1 Unitarias" sheetId="2" r:id="rId2"/>
    <sheet name="M2 Integracion" sheetId="3" r:id="rId3"/>
    <sheet name="M3 Carga" sheetId="4" r:id="rId4"/>
    <sheet name="M4 Estres" sheetId="5" r:id="rId5"/>
    <sheet name="Resumen" sheetId="6" r:id="rId6"/>
    <sheet name="Criteri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7" l="1"/>
  <c r="C21" i="7"/>
  <c r="G15" i="6"/>
  <c r="F15" i="6"/>
  <c r="E15" i="6"/>
  <c r="D15" i="6"/>
  <c r="C15" i="6"/>
  <c r="F11" i="6"/>
  <c r="C11" i="6"/>
  <c r="H10" i="6"/>
  <c r="G10" i="6"/>
  <c r="F10" i="6"/>
  <c r="E10" i="6"/>
  <c r="D10" i="6"/>
  <c r="C10" i="6"/>
  <c r="G9" i="6"/>
  <c r="F9" i="6"/>
  <c r="E9" i="6"/>
  <c r="D9" i="6"/>
  <c r="C9" i="6"/>
  <c r="H9" i="6" s="1"/>
  <c r="H8" i="6"/>
  <c r="G8" i="6"/>
  <c r="F8" i="6"/>
  <c r="E8" i="6"/>
  <c r="D8" i="6"/>
  <c r="C8" i="6"/>
  <c r="F7" i="6"/>
  <c r="E7" i="6"/>
  <c r="E11" i="6" s="1"/>
  <c r="D7" i="6"/>
  <c r="D11" i="6" s="1"/>
  <c r="C7" i="6"/>
  <c r="I67" i="4"/>
  <c r="H67" i="4"/>
  <c r="I66" i="4"/>
  <c r="H66" i="4"/>
  <c r="I65" i="4"/>
  <c r="H65" i="4"/>
  <c r="I64" i="4"/>
  <c r="H64" i="4"/>
  <c r="I63" i="4"/>
  <c r="H63" i="4"/>
  <c r="I62" i="4"/>
  <c r="H62" i="4"/>
  <c r="I61" i="4"/>
  <c r="H61" i="4"/>
  <c r="I60" i="4"/>
  <c r="H60" i="4"/>
  <c r="I59" i="4"/>
  <c r="H59" i="4"/>
  <c r="I58" i="4"/>
  <c r="H58" i="4"/>
  <c r="I57" i="4"/>
  <c r="H57" i="4"/>
  <c r="I56" i="4"/>
  <c r="H56" i="4"/>
  <c r="I55" i="4"/>
  <c r="H55" i="4"/>
  <c r="I54" i="4"/>
  <c r="H54" i="4"/>
  <c r="I53" i="4"/>
  <c r="H53" i="4"/>
  <c r="I52" i="4"/>
  <c r="H52" i="4"/>
  <c r="I51" i="4"/>
  <c r="H51" i="4"/>
  <c r="I50" i="4"/>
  <c r="H50" i="4"/>
  <c r="I49" i="4"/>
  <c r="H49" i="4"/>
  <c r="I48" i="4"/>
  <c r="H48" i="4"/>
  <c r="I47" i="4"/>
  <c r="H47" i="4"/>
  <c r="I46" i="4"/>
  <c r="H46" i="4"/>
  <c r="I45" i="4"/>
  <c r="H45" i="4"/>
  <c r="I44" i="4"/>
  <c r="H44" i="4"/>
  <c r="I43" i="4"/>
  <c r="H43" i="4"/>
  <c r="I42" i="4"/>
  <c r="H42" i="4"/>
  <c r="I41" i="4"/>
  <c r="H41" i="4"/>
  <c r="I40" i="4"/>
  <c r="H40" i="4"/>
  <c r="I39" i="4"/>
  <c r="H39" i="4"/>
  <c r="I38" i="4"/>
  <c r="H38" i="4"/>
  <c r="I37" i="4"/>
  <c r="H37" i="4"/>
  <c r="I36" i="4"/>
  <c r="H36" i="4"/>
  <c r="I35" i="4"/>
  <c r="H35" i="4"/>
  <c r="I34" i="4"/>
  <c r="H34" i="4"/>
  <c r="I33" i="4"/>
  <c r="H33" i="4"/>
  <c r="I32" i="4"/>
  <c r="H32" i="4"/>
  <c r="I31" i="4"/>
  <c r="H31" i="4"/>
  <c r="I30" i="4"/>
  <c r="H30" i="4"/>
  <c r="I29" i="4"/>
  <c r="H29" i="4"/>
  <c r="I28" i="4"/>
  <c r="H28" i="4"/>
  <c r="I27" i="4"/>
  <c r="H27" i="4"/>
  <c r="I26" i="4"/>
  <c r="H26" i="4"/>
  <c r="I25" i="4"/>
  <c r="H25" i="4"/>
  <c r="I24" i="4"/>
  <c r="H24" i="4"/>
  <c r="I23" i="4"/>
  <c r="H23" i="4"/>
  <c r="I22" i="4"/>
  <c r="H22" i="4"/>
  <c r="I21" i="4"/>
  <c r="H21" i="4"/>
  <c r="I20" i="4"/>
  <c r="H20" i="4"/>
  <c r="I19" i="4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G7" i="6" l="1"/>
  <c r="G11" i="6" s="1"/>
  <c r="H15" i="6" l="1"/>
  <c r="C13" i="6"/>
  <c r="H11" i="6"/>
  <c r="H7" i="6"/>
</calcChain>
</file>

<file path=xl/sharedStrings.xml><?xml version="1.0" encoding="utf-8"?>
<sst xmlns="http://schemas.openxmlformats.org/spreadsheetml/2006/main" count="430" uniqueCount="337">
  <si>
    <t>MATRIZ DE RESULTADOS DE PRUEBAS · PROYECTO CLASEDOMINIO</t>
  </si>
  <si>
    <t>Documento complementario de la guía «Pruebas de software en Java · proyecto clasedominio».</t>
  </si>
  <si>
    <t>Hojas del libro</t>
  </si>
  <si>
    <t>M1 Unitarias</t>
  </si>
  <si>
    <t>Casos PU-01 a PU-10. Se llenan con target/surefire-reports/.</t>
  </si>
  <si>
    <t>M2 Integracion</t>
  </si>
  <si>
    <t>Casos PI-01 a PI-12. Se llenan con target/failsafe-reports/.</t>
  </si>
  <si>
    <t>M3 Carga</t>
  </si>
  <si>
    <t>Casos PC-01 a PC-10. Se llenan con la tabla Statistics del informe HTML de JMeter.</t>
  </si>
  <si>
    <t>M4 Estres</t>
  </si>
  <si>
    <t>Escalones E1 a E6 más el escalón de recuperación, y la lista de hallazgos.</t>
  </si>
  <si>
    <t>Resumen</t>
  </si>
  <si>
    <t>Se calcula solo con fórmulas y emite el dictamen. No escribir nada en esta hoja.</t>
  </si>
  <si>
    <t>Criterios</t>
  </si>
  <si>
    <t>Umbrales pactados frente a resultados. Solo se editan los umbrales y el resultado.</t>
  </si>
  <si>
    <t>Cómo se usa</t>
  </si>
  <si>
    <t>1. Ya está preparado</t>
  </si>
  <si>
    <t>Las columnas ID, Requisito, Elemento, Caso de prueba, Entrada y Resultado esperado vienen escritas: son la planeación, que se define ANTES de ejecutar.</t>
  </si>
  <si>
    <t>2. Ejecute las pruebas</t>
  </si>
  <si>
    <t>Siga los pasos de la guía y ejecute mvnw.cmd test, mvnw.cmd verify y JMeter.</t>
  </si>
  <si>
    <t>3. Llene lo azul</t>
  </si>
  <si>
    <t>Escriba el Resultado obtenido copiándolo del informe, nunca de memoria.</t>
  </si>
  <si>
    <t>4. Elija el estado</t>
  </si>
  <si>
    <t>Use la lista desplegable de la columna Estado. El color se aplica solo.</t>
  </si>
  <si>
    <t>5. Registre defectos</t>
  </si>
  <si>
    <t>Si un caso falla, anote el identificador del reporte y la ruta de la evidencia.</t>
  </si>
  <si>
    <t>6. Firme</t>
  </si>
  <si>
    <t>Complete la cabecera de cada hoja: versión, entorno, fecha y responsable.</t>
  </si>
  <si>
    <t>Convención de colores</t>
  </si>
  <si>
    <t>Texto azul</t>
  </si>
  <si>
    <t>Celda que debe llenar usted.</t>
  </si>
  <si>
    <t>Texto negro</t>
  </si>
  <si>
    <t>Dato ya escrito o fórmula calculada. No lo sobrescriba.</t>
  </si>
  <si>
    <t>Fondo crema</t>
  </si>
  <si>
    <t>Fila de EJEMPLO. Muestra el formato esperado. Bórrela cuando escriba sus datos.</t>
  </si>
  <si>
    <t>Fondo verde</t>
  </si>
  <si>
    <t>APROBADA · el resultado obtenido coincide con el esperado.</t>
  </si>
  <si>
    <t>Fondo rojo</t>
  </si>
  <si>
    <t>FALLIDA · difiere del esperado. Abra un reporte de defecto.</t>
  </si>
  <si>
    <t>Fondo amarillo</t>
  </si>
  <si>
    <t>OBSERVACION · cumple, pero con margen estrecho o con un hallazgo anexo.</t>
  </si>
  <si>
    <t>Fondo gris</t>
  </si>
  <si>
    <t>BLOQUEADA · no se pudo ejecutar por un impedimento externo.</t>
  </si>
  <si>
    <t>Prefijos de identificador</t>
  </si>
  <si>
    <t>PU-nn</t>
  </si>
  <si>
    <t>Prueba unitaria · clases que terminan en Test</t>
  </si>
  <si>
    <t>PI-nn</t>
  </si>
  <si>
    <t>Prueba de integración · clases que terminan en IT</t>
  </si>
  <si>
    <t>PC-nn</t>
  </si>
  <si>
    <t>Prueba de carga · JMeter</t>
  </si>
  <si>
    <t>En / R</t>
  </si>
  <si>
    <t>Escalón n de la prueba de estrés · R es el escalón de recuperación</t>
  </si>
  <si>
    <t>BUG-nn</t>
  </si>
  <si>
    <t>Reporte de defecto abierto a partir de un caso fallido</t>
  </si>
  <si>
    <t>Regla de oro: el resultado esperado se define ANTES de ejecutar la prueba. Escribirlo después de ver el obtenido anula por completo el valor de la prueba.</t>
  </si>
  <si>
    <t>M1 · MATRIZ DE PRUEBAS UNITARIAS · clasedominio</t>
  </si>
  <si>
    <t>Proyecto:</t>
  </si>
  <si>
    <t>clasedominio 0.0.1-SNAPSHOT</t>
  </si>
  <si>
    <t>Entorno:</t>
  </si>
  <si>
    <t>JDK 21 · Spring Boot 4.0.3</t>
  </si>
  <si>
    <t>Responsable:</t>
  </si>
  <si>
    <t>Fecha:</t>
  </si>
  <si>
    <t>Herramienta:</t>
  </si>
  <si>
    <t>JUnit + Mockito + JaCoCo</t>
  </si>
  <si>
    <t>Informe:</t>
  </si>
  <si>
    <t>target/surefire-reports/</t>
  </si>
  <si>
    <t>Nota · El caso PU-09 revela el defecto BUG-01 del proyecto: la linea .disabled(usuario.getActivo() == 0) de UsuarioDetailsServices lanza NullPointerException si la columna activo esta en NULL. Correccion: .disabled(usuario.getActivo() == null || usuario.getActivo() == 0)</t>
  </si>
  <si>
    <t>ID</t>
  </si>
  <si>
    <t>Requisito</t>
  </si>
  <si>
    <t>Clase / método bajo prueba</t>
  </si>
  <si>
    <t>Caso de prueba</t>
  </si>
  <si>
    <t>Entrada / Condición</t>
  </si>
  <si>
    <t>Resultado esperado</t>
  </si>
  <si>
    <t>Resultado obtenido</t>
  </si>
  <si>
    <t>Estado</t>
  </si>
  <si>
    <t>Defecto</t>
  </si>
  <si>
    <t>Evidencia</t>
  </si>
  <si>
    <t>PU-00</t>
  </si>
  <si>
    <t>EJEMPLO</t>
  </si>
  <si>
    <t>IndividuoService.listarIndividuos</t>
  </si>
  <si>
    <t>EJEMPLO · Borre esta fila antes de entregar</t>
  </si>
  <si>
    <t>DAO simulado con 2 individuos</t>
  </si>
  <si>
    <t>La lista devuelta tiene 2 elementos</t>
  </si>
  <si>
    <t>2 elementos, el primero es Ana</t>
  </si>
  <si>
    <t>APROBADA</t>
  </si>
  <si>
    <t>—</t>
  </si>
  <si>
    <t>surefire-reports/...IndividuoServiceTest.xml</t>
  </si>
  <si>
    <t>PU-01</t>
  </si>
  <si>
    <t>RN-01</t>
  </si>
  <si>
    <t>Convierte el Iterable que devuelve el DAO en una List</t>
  </si>
  <si>
    <t>DAO simulado con 2 individuos (Ana y Luis)</t>
  </si>
  <si>
    <t>La lista tiene 2 elementos y el primero es Ana</t>
  </si>
  <si>
    <t>PU-02</t>
  </si>
  <si>
    <t>IndividuoService.buscarIndividuoPorId</t>
  </si>
  <si>
    <t>Devuelve el individuo cuando el id existe</t>
  </si>
  <si>
    <t>findById(1) devuelve Optional.of(ana)</t>
  </si>
  <si>
    <t>Objeto no nulo con correo ana@correo.com</t>
  </si>
  <si>
    <t>PU-03</t>
  </si>
  <si>
    <t>Devuelve null cuando el id no existe</t>
  </si>
  <si>
    <t>findById(99) devuelve Optional.empty()</t>
  </si>
  <si>
    <t>null</t>
  </si>
  <si>
    <t>PU-04</t>
  </si>
  <si>
    <t>IndividuoService.guardarIndividuo</t>
  </si>
  <si>
    <t>Delega la escritura en el DAO</t>
  </si>
  <si>
    <t>Individuo válido</t>
  </si>
  <si>
    <t>Se invoca individuoDao.save(individuo) una sola vez</t>
  </si>
  <si>
    <t>PU-05</t>
  </si>
  <si>
    <t>IndividuoService.eliminarIndividuo</t>
  </si>
  <si>
    <t>Delega el borrado en el DAO</t>
  </si>
  <si>
    <t>id = 7</t>
  </si>
  <si>
    <t>Se invoca individuoDao.deleteById(7) una sola vez</t>
  </si>
  <si>
    <t>PU-06</t>
  </si>
  <si>
    <t>RN-02</t>
  </si>
  <si>
    <t>UsuarioDetailsServices.loadUserByUsername</t>
  </si>
  <si>
    <t>Un usuario activo se carga con su rol en mayúsculas y prefijo ROLE_</t>
  </si>
  <si>
    <t>username admin · perfil administracion · activo 1</t>
  </si>
  <si>
    <t>getUsername()=admin · isEnabled()=true · authorities contiene ROLE_ADMINISTRACION</t>
  </si>
  <si>
    <t>PU-07</t>
  </si>
  <si>
    <t>Un usuario inexistente es rechazado con mensaje explicativo</t>
  </si>
  <si>
    <t>findByUsername devuelve null</t>
  </si>
  <si>
    <t>UsernameNotFoundException con el mensaje «Usuario no encontrado»</t>
  </si>
  <si>
    <t>PU-08</t>
  </si>
  <si>
    <t>Un usuario con activo = 0 queda deshabilitado</t>
  </si>
  <si>
    <t>username retirado · perfil vendedor · activo 0</t>
  </si>
  <si>
    <t>isEnabled() = false</t>
  </si>
  <si>
    <t>PU-09</t>
  </si>
  <si>
    <t>Un usuario con la columna activo en NULL debe quedar deshabilitado</t>
  </si>
  <si>
    <t>username sinestado · perfil vendedor · activo NULL</t>
  </si>
  <si>
    <t>isEnabled() = false, sin lanzar excepción</t>
  </si>
  <si>
    <t>PU-10</t>
  </si>
  <si>
    <t>RN-03</t>
  </si>
  <si>
    <t>Individuo · validaciones @NotEmpty</t>
  </si>
  <si>
    <t>Prueba parametrizada de 6 filas sobre los campos obligatorios</t>
  </si>
  <si>
    <t>Combinaciones de nombre, apellido, correo y teléfono vacíos</t>
  </si>
  <si>
    <t>0, 1 o 4 violaciones de validación según la fila</t>
  </si>
  <si>
    <t>M2 · MATRIZ DE PRUEBAS DE INTEGRACIÓN · clasedominio</t>
  </si>
  <si>
    <t>JDK 21 · H2 · MySQL 8.4 en Docker</t>
  </si>
  <si>
    <t>Spring Boot Test · MockMvc · Testcontainers</t>
  </si>
  <si>
    <t>target/failsafe-reports/</t>
  </si>
  <si>
    <t>Nota · Las clases terminadas en IT las ejecuta el complemento Failsafe con el comando mvnw.cmd verify. Los resultados quedan en target/failsafe-reports/.</t>
  </si>
  <si>
    <t>Componentes integrados</t>
  </si>
  <si>
    <t>Escenario</t>
  </si>
  <si>
    <t>Precondición</t>
  </si>
  <si>
    <t>PI-00</t>
  </si>
  <si>
    <t>Controlador + seguridad</t>
  </si>
  <si>
    <t>Sin sesión iniciada</t>
  </si>
  <si>
    <t>HTTP 302 hacia /login</t>
  </si>
  <si>
    <t>HTTP 302 a http://localhost/login</t>
  </si>
  <si>
    <t>failsafe-reports/...HomeControllerIT.xml</t>
  </si>
  <si>
    <t>PI-01</t>
  </si>
  <si>
    <t>RN-04</t>
  </si>
  <si>
    <t>HomeController + SecurityConfig</t>
  </si>
  <si>
    <t>Sin iniciar sesión, la ruta raíz redirige al formulario de login</t>
  </si>
  <si>
    <t>Sin usuario autenticado</t>
  </si>
  <si>
    <t>HTTP 3xx con destino **/login</t>
  </si>
  <si>
    <t>PI-02</t>
  </si>
  <si>
    <t>RN-05</t>
  </si>
  <si>
    <t>HomeController + servicio simulado + Thymeleaf</t>
  </si>
  <si>
    <t>Un administrador ve el listado completo</t>
  </si>
  <si>
    <t>Usuario admin con rol ADMINISTRACION</t>
  </si>
  <si>
    <t>HTTP 200 · vista index · modelo con lista, esAdmin=true y usuarioActual=admin</t>
  </si>
  <si>
    <t>PI-03</t>
  </si>
  <si>
    <t>HomeController + seguridad</t>
  </si>
  <si>
    <t>Un usuario sin el rol ADMINISTRACION no recibe permisos de administrador</t>
  </si>
  <si>
    <t>Usuario vendedor con rol VENDEDOR</t>
  </si>
  <si>
    <t>HTTP 200 · modelo con esAdmin=false</t>
  </si>
  <si>
    <t>PI-04</t>
  </si>
  <si>
    <t>HomeController + validación Bean Validation</t>
  </si>
  <si>
    <t>Un formulario con el nombre vacío vuelve al formulario y no guarda</t>
  </si>
  <si>
    <t>POST /guardar con nombre vacío y token CSRF válido</t>
  </si>
  <si>
    <t>HTTP 200 · vista form · error en el campo nombre · no se invoca guardarIndividuo</t>
  </si>
  <si>
    <t>PI-05</t>
  </si>
  <si>
    <t>HomeController + servicio</t>
  </si>
  <si>
    <t>Un formulario válido guarda y redirige al listado</t>
  </si>
  <si>
    <t>POST /guardar con todos los campos válidos</t>
  </si>
  <si>
    <t>HTTP 3xx hacia / · se invoca guardarIndividuo una vez</t>
  </si>
  <si>
    <t>PI-06</t>
  </si>
  <si>
    <t>La ruta /detalle carga el individuo solicitado en el modelo</t>
  </si>
  <si>
    <t>GET /detalle?id=1 con usuario autenticado</t>
  </si>
  <si>
    <t>HTTP 200 · vista detalle · modelo con el atributo individuo</t>
  </si>
  <si>
    <t>PI-07</t>
  </si>
  <si>
    <t>RN-06</t>
  </si>
  <si>
    <t>IndividuoDao + H2</t>
  </si>
  <si>
    <t>Guarda un individuo y le asigna un id generado</t>
  </si>
  <si>
    <t>Base H2 vacía</t>
  </si>
  <si>
    <t>idIndividuo distinto de null y el registro recuperable por findById</t>
  </si>
  <si>
    <t>PI-08</t>
  </si>
  <si>
    <t>findAll devuelve todos los registros guardados</t>
  </si>
  <si>
    <t>Dos individuos insertados</t>
  </si>
  <si>
    <t>count() = 2</t>
  </si>
  <si>
    <t>PI-09</t>
  </si>
  <si>
    <t>deleteById elimina el registro de la tabla</t>
  </si>
  <si>
    <t>Un individuo insertado</t>
  </si>
  <si>
    <t>findById devuelve Optional vacío</t>
  </si>
  <si>
    <t>PI-10</t>
  </si>
  <si>
    <t>IndividuoDao + MySQL 8.4 en Docker</t>
  </si>
  <si>
    <t>El mapeo de la entidad funciona contra el motor real de producción</t>
  </si>
  <si>
    <t>Docker Desktop iniciado</t>
  </si>
  <si>
    <t>El registro se guarda y se recupera sin error de dialecto</t>
  </si>
  <si>
    <t>PI-11</t>
  </si>
  <si>
    <t>RN-07</t>
  </si>
  <si>
    <t>Aplicación completa: web + servicio + DAO + base de datos</t>
  </si>
  <si>
    <t>POST /guardar deja el registro escrito en la base de datos</t>
  </si>
  <si>
    <t>Usuario admin autenticado · token CSRF válido</t>
  </si>
  <si>
    <t>HTTP 3xx hacia / y count() aumenta en 1</t>
  </si>
  <si>
    <t>PI-12</t>
  </si>
  <si>
    <t>Aplicación completa</t>
  </si>
  <si>
    <t>Un formulario inválido no escribe nada en la base de datos</t>
  </si>
  <si>
    <t>POST /guardar con nombre vacío</t>
  </si>
  <si>
    <t>HTTP 200 y count() sin cambios</t>
  </si>
  <si>
    <t>M3 · MATRIZ DE PRUEBAS DE CARGA · clasedominio</t>
  </si>
  <si>
    <t>Sistema:</t>
  </si>
  <si>
    <t>http://localhost:8080</t>
  </si>
  <si>
    <t>Apache JMeter 5.6.3</t>
  </si>
  <si>
    <t>Perfil de carga:</t>
  </si>
  <si>
    <t>100 usuarios · rampa 30 s · meseta 300 s</t>
  </si>
  <si>
    <t>Nota · Las columnas Desviacion y Cumple se calculan solas: no las edite. La columna Estado queda a su criterio: un incumplimiento leve puede registrarse como OBSERVACION en lugar de FALLIDA.</t>
  </si>
  <si>
    <t>Usuarios</t>
  </si>
  <si>
    <t>Métrica</t>
  </si>
  <si>
    <t>Criterio</t>
  </si>
  <si>
    <t>Objetivo</t>
  </si>
  <si>
    <t>Obtenido</t>
  </si>
  <si>
    <t>Desviación</t>
  </si>
  <si>
    <t>Cumple</t>
  </si>
  <si>
    <t>Observación</t>
  </si>
  <si>
    <t>PC-00</t>
  </si>
  <si>
    <t>EJEMPLO · Borre esta fila</t>
  </si>
  <si>
    <t>Percentil 95 (ms)</t>
  </si>
  <si>
    <t>&lt;=</t>
  </si>
  <si>
    <t>Copiado del informe HTML de JMeter</t>
  </si>
  <si>
    <t>PC-01</t>
  </si>
  <si>
    <t>Listado de individuos</t>
  </si>
  <si>
    <t>Throughput (req/s)</t>
  </si>
  <si>
    <t>&gt;=</t>
  </si>
  <si>
    <t>PC-02</t>
  </si>
  <si>
    <t>Tiempo medio (ms)</t>
  </si>
  <si>
    <t>PC-03</t>
  </si>
  <si>
    <t>Percentil 90 (ms)</t>
  </si>
  <si>
    <t>PC-04</t>
  </si>
  <si>
    <t>PC-05</t>
  </si>
  <si>
    <t>Percentil 99 (ms)</t>
  </si>
  <si>
    <t>PC-06</t>
  </si>
  <si>
    <t>Tasa de error (%)</t>
  </si>
  <si>
    <t>PC-07</t>
  </si>
  <si>
    <t>Detalle de individuo</t>
  </si>
  <si>
    <t>PC-08</t>
  </si>
  <si>
    <t>Inicio de sesión</t>
  </si>
  <si>
    <t>PC-09</t>
  </si>
  <si>
    <t>Exportar a Excel</t>
  </si>
  <si>
    <t>PC-10</t>
  </si>
  <si>
    <t>Servidor</t>
  </si>
  <si>
    <t>CPU máxima (%)</t>
  </si>
  <si>
    <t>M4 · MATRIZ DE PRUEBA DE ESTRÉS · clasedominio</t>
  </si>
  <si>
    <t>Objetivo:</t>
  </si>
  <si>
    <t>Punto de saturación, punto de quiebre y recuperación</t>
  </si>
  <si>
    <t>Nota · Ejemplo de hallazgo: "El throughput se estanca en 250 req/s desde 400 usuarios mientras la CPU llega al 97 %". Recomendacion: ampliar el pool de conexiones con spring.datasource.hikari.maximum-pool-size.</t>
  </si>
  <si>
    <t>Escalón</t>
  </si>
  <si>
    <t>Duración</t>
  </si>
  <si>
    <t>p95 (ms)</t>
  </si>
  <si>
    <t>Error (%)</t>
  </si>
  <si>
    <t>CPU (%)</t>
  </si>
  <si>
    <t>Heap (%)</t>
  </si>
  <si>
    <t>E0</t>
  </si>
  <si>
    <t>3 min</t>
  </si>
  <si>
    <t>E1</t>
  </si>
  <si>
    <t>Línea base de comparación</t>
  </si>
  <si>
    <t>E2</t>
  </si>
  <si>
    <t>E3</t>
  </si>
  <si>
    <t>Carga objetivo: aquí deben cumplirse los umbrales</t>
  </si>
  <si>
    <t>E4</t>
  </si>
  <si>
    <t>E5</t>
  </si>
  <si>
    <t>¿Punto de saturación? El throughput deja de crecer</t>
  </si>
  <si>
    <t>E6</t>
  </si>
  <si>
    <t>¿Punto de quiebre? Aparecen errores y timeouts</t>
  </si>
  <si>
    <t>R</t>
  </si>
  <si>
    <t>5 min</t>
  </si>
  <si>
    <t>Recuperación: tiempo hasta volver a los valores de E3</t>
  </si>
  <si>
    <t>Hallazgos de la prueba de estrés</t>
  </si>
  <si>
    <t>Hallazgo</t>
  </si>
  <si>
    <t>Evidencia observada</t>
  </si>
  <si>
    <t>Recomendación</t>
  </si>
  <si>
    <t>H-01</t>
  </si>
  <si>
    <t>H-02</t>
  </si>
  <si>
    <t>H-03</t>
  </si>
  <si>
    <t>H-04</t>
  </si>
  <si>
    <t>H-05</t>
  </si>
  <si>
    <t>RESUMEN EJECUTIVO DE PRUEBAS · clasedominio</t>
  </si>
  <si>
    <t>Todas las cifras de esta hoja son fórmulas que leen las cuatro matrices. No escriba nada aquí.</t>
  </si>
  <si>
    <t>Tipo de prueba</t>
  </si>
  <si>
    <t>Aprobadas</t>
  </si>
  <si>
    <t>Fallidas</t>
  </si>
  <si>
    <t>Bloqueadas</t>
  </si>
  <si>
    <t>Total ejecutadas</t>
  </si>
  <si>
    <t>% de éxito</t>
  </si>
  <si>
    <t>Pruebas unitarias</t>
  </si>
  <si>
    <t>Pruebas de integración</t>
  </si>
  <si>
    <t>Pruebas de carga</t>
  </si>
  <si>
    <t>Pruebas de estrés</t>
  </si>
  <si>
    <t>TOTAL</t>
  </si>
  <si>
    <t>Dictamen automático</t>
  </si>
  <si>
    <t>PU</t>
  </si>
  <si>
    <t>PI</t>
  </si>
  <si>
    <t>PC</t>
  </si>
  <si>
    <t>Escalones</t>
  </si>
  <si>
    <t>Total</t>
  </si>
  <si>
    <t>% ejecutado</t>
  </si>
  <si>
    <t>Casos planificados en el libro</t>
  </si>
  <si>
    <t>CRITERIOS DE ACEPTACIÓN PARA LA ENTREGA</t>
  </si>
  <si>
    <t>Umbral acordado</t>
  </si>
  <si>
    <t>Pruebas unitarias aprobadas</t>
  </si>
  <si>
    <t>10 de 10</t>
  </si>
  <si>
    <t>Cobertura de líneas del paquete service (JaCoCo)</t>
  </si>
  <si>
    <t>≥ 80 %</t>
  </si>
  <si>
    <t>Cobertura de ramas del paquete service (JaCoCo)</t>
  </si>
  <si>
    <t>≥ 70 %</t>
  </si>
  <si>
    <t>Pruebas de integración aprobadas</t>
  </si>
  <si>
    <t>12 de 12</t>
  </si>
  <si>
    <t>Defecto BUG-01 corregido y verificado</t>
  </si>
  <si>
    <t>Sí</t>
  </si>
  <si>
    <t>Percentil 95 del listado bajo 100 usuarios</t>
  </si>
  <si>
    <t>≤ 1000 ms</t>
  </si>
  <si>
    <t>Tasa de error bajo carga objetivo</t>
  </si>
  <si>
    <t>&lt; 1 %</t>
  </si>
  <si>
    <t>Throughput mínimo sostenido</t>
  </si>
  <si>
    <t>≥ 60 req/s</t>
  </si>
  <si>
    <t>Punto de saturación identificado y documentado</t>
  </si>
  <si>
    <t>Punto de quiebre identificado y documentado</t>
  </si>
  <si>
    <t>Recuperación automática tras el estrés</t>
  </si>
  <si>
    <t>&lt; 5 min</t>
  </si>
  <si>
    <t>Evidencias adjuntas en la guía</t>
  </si>
  <si>
    <t>15 pantallazos</t>
  </si>
  <si>
    <t>Matriz firmada con versión, entorno y fecha</t>
  </si>
  <si>
    <t>Criterios cumplidos</t>
  </si>
  <si>
    <t>Dictamen</t>
  </si>
  <si>
    <t>Responsable de las pruebas</t>
  </si>
  <si>
    <t>Instructor</t>
  </si>
  <si>
    <t>Fecha de la evaluación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</si>
</sst>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0.0%"/>
  </numFmts>
  <fonts count="21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10"/>
      <color rgb="FF808080"/>
      <name val="Arial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  <font>
      <b/>
      <sz val="10"/>
      <color rgb="FF808080"/>
      <name val="Arial"/>
    </font>
    <font>
      <b/>
      <sz val="10"/>
      <color rgb="FF006100"/>
      <name val="Arial"/>
    </font>
    <font>
      <b/>
      <sz val="10"/>
      <color rgb="FF9C0006"/>
      <name val="Arial"/>
    </font>
    <font>
      <b/>
      <sz val="10"/>
      <color rgb="FF7F5F00"/>
      <name val="Arial"/>
    </font>
    <font>
      <b/>
      <sz val="10"/>
      <color rgb="FF404040"/>
      <name val="Arial"/>
    </font>
    <font>
      <b/>
      <sz val="10"/>
      <color rgb="FF0000FF"/>
      <name val="Arial"/>
    </font>
    <font>
      <b/>
      <sz val="14"/>
      <color rgb="FFFFFFFF"/>
      <name val="Arial"/>
    </font>
    <font>
      <b/>
      <sz val="10"/>
      <color rgb="FF2E7D32"/>
      <name val="Arial"/>
    </font>
    <font>
      <sz val="10"/>
      <color rgb="FF0000FF"/>
      <name val="Arial"/>
    </font>
    <font>
      <b/>
      <sz val="10"/>
      <color rgb="FFFFFFFF"/>
      <name val="Arial"/>
    </font>
    <font>
      <b/>
      <sz val="9"/>
      <color rgb="FF7F5F00"/>
      <name val="Arial"/>
    </font>
    <font>
      <i/>
      <sz val="9"/>
      <color rgb="FF808080"/>
      <name val="Arial"/>
    </font>
    <font>
      <b/>
      <sz val="11"/>
      <color rgb="FF2E7D32"/>
      <name val="Arial"/>
    </font>
    <font>
      <b/>
      <sz val="11"/>
      <name val="Arial"/>
    </font>
    <font>
      <b/>
      <sz val="9"/>
      <color rgb="FF8080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FFF7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AF1FB"/>
      </patternFill>
    </fill>
    <fill>
      <patternFill patternType="solid">
        <fgColor rgb="FFF3F6F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11" fillId="0" borderId="0" xfId="0" applyFont="1"/>
    <xf numFmtId="0" fontId="6" fillId="3" borderId="0" xfId="0" applyFont="1" applyFill="1"/>
    <xf numFmtId="0" fontId="7" fillId="4" borderId="0" xfId="0" applyFont="1" applyFill="1"/>
    <xf numFmtId="0" fontId="8" fillId="5" borderId="0" xfId="0" applyFont="1" applyFill="1"/>
    <xf numFmtId="0" fontId="9" fillId="6" borderId="0" xfId="0" applyFont="1" applyFill="1"/>
    <xf numFmtId="0" fontId="10" fillId="7" borderId="0" xfId="0" applyFont="1" applyFill="1"/>
    <xf numFmtId="0" fontId="13" fillId="0" borderId="0" xfId="0" applyFont="1"/>
    <xf numFmtId="0" fontId="14" fillId="9" borderId="1" xfId="0" applyFont="1" applyFill="1" applyBorder="1"/>
    <xf numFmtId="0" fontId="15" fillId="2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17" fillId="3" borderId="1" xfId="0" applyNumberFormat="1" applyFont="1" applyFill="1" applyBorder="1" applyAlignment="1">
      <alignment horizontal="center" vertical="center" wrapText="1"/>
    </xf>
    <xf numFmtId="164" fontId="5" fillId="10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3" fontId="17" fillId="3" borderId="1" xfId="0" applyNumberFormat="1" applyFont="1" applyFill="1" applyBorder="1" applyAlignment="1">
      <alignment horizontal="center" vertical="center" wrapText="1"/>
    </xf>
    <xf numFmtId="2" fontId="17" fillId="3" borderId="1" xfId="0" applyNumberFormat="1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3" fontId="14" fillId="10" borderId="1" xfId="0" applyNumberFormat="1" applyFont="1" applyFill="1" applyBorder="1" applyAlignment="1">
      <alignment horizontal="center" vertical="center" wrapText="1"/>
    </xf>
    <xf numFmtId="2" fontId="14" fillId="10" borderId="1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vertical="center" wrapText="1"/>
    </xf>
    <xf numFmtId="2" fontId="14" fillId="0" borderId="1" xfId="0" applyNumberFormat="1" applyFont="1" applyBorder="1" applyAlignment="1">
      <alignment vertical="center" wrapText="1"/>
    </xf>
    <xf numFmtId="0" fontId="18" fillId="0" borderId="0" xfId="0" applyFont="1"/>
    <xf numFmtId="0" fontId="4" fillId="0" borderId="1" xfId="0" applyFont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 wrapText="1"/>
    </xf>
    <xf numFmtId="165" fontId="15" fillId="2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left" vertical="center" wrapText="1"/>
    </xf>
    <xf numFmtId="0" fontId="0" fillId="0" borderId="0" xfId="0"/>
    <xf numFmtId="0" fontId="12" fillId="2" borderId="0" xfId="0" applyFont="1" applyFill="1" applyAlignment="1">
      <alignment horizontal="left" vertical="center" wrapText="1"/>
    </xf>
    <xf numFmtId="0" fontId="17" fillId="0" borderId="0" xfId="0" applyFont="1"/>
    <xf numFmtId="0" fontId="3" fillId="2" borderId="0" xfId="0" applyFont="1" applyFill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/>
    <xf numFmtId="0" fontId="16" fillId="8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20"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404040"/>
        <name val="Arial"/>
      </font>
      <fill>
        <patternFill patternType="solid">
          <fgColor rgb="FFD9D9D9"/>
        </patternFill>
      </fill>
    </dxf>
    <dxf>
      <font>
        <b/>
        <sz val="10"/>
        <color rgb="FF7F5F00"/>
        <name val="Arial"/>
      </font>
      <fill>
        <patternFill patternType="solid">
          <f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404040"/>
        <name val="Arial"/>
      </font>
      <fill>
        <patternFill patternType="solid">
          <fgColor rgb="FFD9D9D9"/>
        </patternFill>
      </fill>
    </dxf>
    <dxf>
      <font>
        <b/>
        <sz val="10"/>
        <color rgb="FF7F5F00"/>
        <name val="Arial"/>
      </font>
      <fill>
        <patternFill patternType="solid">
          <f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404040"/>
        <name val="Arial"/>
      </font>
      <fill>
        <patternFill patternType="solid">
          <fgColor rgb="FFD9D9D9"/>
        </patternFill>
      </fill>
    </dxf>
    <dxf>
      <font>
        <b/>
        <sz val="10"/>
        <color rgb="FF7F5F00"/>
        <name val="Arial"/>
      </font>
      <fill>
        <patternFill patternType="solid">
          <f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404040"/>
        <name val="Arial"/>
      </font>
      <fill>
        <patternFill patternType="solid">
          <fgColor rgb="FFD9D9D9"/>
        </patternFill>
      </fill>
    </dxf>
    <dxf>
      <font>
        <b/>
        <sz val="10"/>
        <color rgb="FF7F5F00"/>
        <name val="Arial"/>
      </font>
      <fill>
        <patternFill patternType="solid">
          <f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Resultados por tipo de prueba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Resumen!$C$6</c:f>
              <c:strCache>
                <c:ptCount val="1"/>
                <c:pt idx="0">
                  <c:v>Aprobadas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Resumen!$B$7:$B$10</c:f>
              <c:strCache>
                <c:ptCount val="4"/>
                <c:pt idx="0">
                  <c:v>Pruebas unitarias</c:v>
                </c:pt>
                <c:pt idx="1">
                  <c:v>Pruebas de integración</c:v>
                </c:pt>
                <c:pt idx="2">
                  <c:v>Pruebas de carga</c:v>
                </c:pt>
                <c:pt idx="3">
                  <c:v>Pruebas de estrés</c:v>
                </c:pt>
              </c:strCache>
            </c:strRef>
          </c:cat>
          <c:val>
            <c:numRef>
              <c:f>Resumen!$C$7:$C$10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76-4D03-819F-7D6228A97054}"/>
            </c:ext>
          </c:extLst>
        </c:ser>
        <c:ser>
          <c:idx val="1"/>
          <c:order val="1"/>
          <c:tx>
            <c:strRef>
              <c:f>Resumen!$D$6</c:f>
              <c:strCache>
                <c:ptCount val="1"/>
                <c:pt idx="0">
                  <c:v>Observación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Resumen!$B$7:$B$10</c:f>
              <c:strCache>
                <c:ptCount val="4"/>
                <c:pt idx="0">
                  <c:v>Pruebas unitarias</c:v>
                </c:pt>
                <c:pt idx="1">
                  <c:v>Pruebas de integración</c:v>
                </c:pt>
                <c:pt idx="2">
                  <c:v>Pruebas de carga</c:v>
                </c:pt>
                <c:pt idx="3">
                  <c:v>Pruebas de estrés</c:v>
                </c:pt>
              </c:strCache>
            </c:strRef>
          </c:cat>
          <c:val>
            <c:numRef>
              <c:f>Resumen!$D$7:$D$10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76-4D03-819F-7D6228A97054}"/>
            </c:ext>
          </c:extLst>
        </c:ser>
        <c:ser>
          <c:idx val="2"/>
          <c:order val="2"/>
          <c:tx>
            <c:strRef>
              <c:f>Resumen!$E$6</c:f>
              <c:strCache>
                <c:ptCount val="1"/>
                <c:pt idx="0">
                  <c:v>Fallidas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Resumen!$B$7:$B$10</c:f>
              <c:strCache>
                <c:ptCount val="4"/>
                <c:pt idx="0">
                  <c:v>Pruebas unitarias</c:v>
                </c:pt>
                <c:pt idx="1">
                  <c:v>Pruebas de integración</c:v>
                </c:pt>
                <c:pt idx="2">
                  <c:v>Pruebas de carga</c:v>
                </c:pt>
                <c:pt idx="3">
                  <c:v>Pruebas de estrés</c:v>
                </c:pt>
              </c:strCache>
            </c:strRef>
          </c:cat>
          <c:val>
            <c:numRef>
              <c:f>Resumen!$E$7:$E$10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76-4D03-819F-7D6228A97054}"/>
            </c:ext>
          </c:extLst>
        </c:ser>
        <c:ser>
          <c:idx val="3"/>
          <c:order val="3"/>
          <c:tx>
            <c:strRef>
              <c:f>Resumen!$F$6</c:f>
              <c:strCache>
                <c:ptCount val="1"/>
                <c:pt idx="0">
                  <c:v>Bloqueadas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Resumen!$B$7:$B$10</c:f>
              <c:strCache>
                <c:ptCount val="4"/>
                <c:pt idx="0">
                  <c:v>Pruebas unitarias</c:v>
                </c:pt>
                <c:pt idx="1">
                  <c:v>Pruebas de integración</c:v>
                </c:pt>
                <c:pt idx="2">
                  <c:v>Pruebas de carga</c:v>
                </c:pt>
                <c:pt idx="3">
                  <c:v>Pruebas de estrés</c:v>
                </c:pt>
              </c:strCache>
            </c:strRef>
          </c:cat>
          <c:val>
            <c:numRef>
              <c:f>Resumen!$F$7:$F$10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76-4D03-819F-7D6228A97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Casos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17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8"/>
  <sheetViews>
    <sheetView showGridLines="0" workbookViewId="0"/>
  </sheetViews>
  <sheetFormatPr baseColWidth="10" defaultColWidth="9.1796875" defaultRowHeight="14.5" x14ac:dyDescent="0.35"/>
  <cols>
    <col min="1" max="1" width="3" customWidth="1"/>
    <col min="2" max="2" width="32" customWidth="1"/>
    <col min="3" max="3" width="96" customWidth="1"/>
  </cols>
  <sheetData>
    <row r="2" spans="2:3" ht="30" customHeight="1" x14ac:dyDescent="0.35">
      <c r="B2" s="50" t="s">
        <v>0</v>
      </c>
      <c r="C2" s="45"/>
    </row>
    <row r="4" spans="2:3" x14ac:dyDescent="0.35">
      <c r="B4" s="51" t="s">
        <v>1</v>
      </c>
      <c r="C4" s="45"/>
    </row>
    <row r="6" spans="2:3" ht="20.149999999999999" customHeight="1" x14ac:dyDescent="0.35">
      <c r="B6" s="48" t="s">
        <v>2</v>
      </c>
      <c r="C6" s="45"/>
    </row>
    <row r="7" spans="2:3" ht="15" customHeight="1" x14ac:dyDescent="0.35">
      <c r="B7" s="1" t="s">
        <v>3</v>
      </c>
      <c r="C7" s="2" t="s">
        <v>4</v>
      </c>
    </row>
    <row r="8" spans="2:3" ht="15" customHeight="1" x14ac:dyDescent="0.35">
      <c r="B8" s="1" t="s">
        <v>5</v>
      </c>
      <c r="C8" s="2" t="s">
        <v>6</v>
      </c>
    </row>
    <row r="9" spans="2:3" ht="15" customHeight="1" x14ac:dyDescent="0.35">
      <c r="B9" s="1" t="s">
        <v>7</v>
      </c>
      <c r="C9" s="2" t="s">
        <v>8</v>
      </c>
    </row>
    <row r="10" spans="2:3" ht="15" customHeight="1" x14ac:dyDescent="0.35">
      <c r="B10" s="1" t="s">
        <v>9</v>
      </c>
      <c r="C10" s="2" t="s">
        <v>10</v>
      </c>
    </row>
    <row r="11" spans="2:3" ht="15" customHeight="1" x14ac:dyDescent="0.35">
      <c r="B11" s="1" t="s">
        <v>11</v>
      </c>
      <c r="C11" s="2" t="s">
        <v>12</v>
      </c>
    </row>
    <row r="12" spans="2:3" ht="15" customHeight="1" x14ac:dyDescent="0.35">
      <c r="B12" s="1" t="s">
        <v>13</v>
      </c>
      <c r="C12" s="2" t="s">
        <v>14</v>
      </c>
    </row>
    <row r="14" spans="2:3" ht="20.149999999999999" customHeight="1" x14ac:dyDescent="0.35">
      <c r="B14" s="48" t="s">
        <v>15</v>
      </c>
      <c r="C14" s="45"/>
    </row>
    <row r="15" spans="2:3" ht="15" customHeight="1" x14ac:dyDescent="0.35">
      <c r="B15" s="1" t="s">
        <v>16</v>
      </c>
      <c r="C15" s="2" t="s">
        <v>17</v>
      </c>
    </row>
    <row r="16" spans="2:3" ht="15" customHeight="1" x14ac:dyDescent="0.35">
      <c r="B16" s="1" t="s">
        <v>18</v>
      </c>
      <c r="C16" s="2" t="s">
        <v>19</v>
      </c>
    </row>
    <row r="17" spans="2:3" ht="15" customHeight="1" x14ac:dyDescent="0.35">
      <c r="B17" s="1" t="s">
        <v>20</v>
      </c>
      <c r="C17" s="2" t="s">
        <v>21</v>
      </c>
    </row>
    <row r="18" spans="2:3" ht="15" customHeight="1" x14ac:dyDescent="0.35">
      <c r="B18" s="1" t="s">
        <v>22</v>
      </c>
      <c r="C18" s="2" t="s">
        <v>23</v>
      </c>
    </row>
    <row r="19" spans="2:3" ht="15" customHeight="1" x14ac:dyDescent="0.35">
      <c r="B19" s="1" t="s">
        <v>24</v>
      </c>
      <c r="C19" s="2" t="s">
        <v>25</v>
      </c>
    </row>
    <row r="20" spans="2:3" ht="15" customHeight="1" x14ac:dyDescent="0.35">
      <c r="B20" s="1" t="s">
        <v>26</v>
      </c>
      <c r="C20" s="2" t="s">
        <v>27</v>
      </c>
    </row>
    <row r="22" spans="2:3" ht="20.149999999999999" customHeight="1" x14ac:dyDescent="0.35">
      <c r="B22" s="48" t="s">
        <v>28</v>
      </c>
      <c r="C22" s="45"/>
    </row>
    <row r="23" spans="2:3" ht="15" customHeight="1" x14ac:dyDescent="0.35">
      <c r="B23" s="3" t="s">
        <v>29</v>
      </c>
      <c r="C23" s="2" t="s">
        <v>30</v>
      </c>
    </row>
    <row r="24" spans="2:3" ht="15" customHeight="1" x14ac:dyDescent="0.35">
      <c r="B24" s="1" t="s">
        <v>31</v>
      </c>
      <c r="C24" s="2" t="s">
        <v>32</v>
      </c>
    </row>
    <row r="25" spans="2:3" ht="15" customHeight="1" x14ac:dyDescent="0.35">
      <c r="B25" s="4" t="s">
        <v>33</v>
      </c>
      <c r="C25" s="2" t="s">
        <v>34</v>
      </c>
    </row>
    <row r="26" spans="2:3" ht="15" customHeight="1" x14ac:dyDescent="0.35">
      <c r="B26" s="5" t="s">
        <v>35</v>
      </c>
      <c r="C26" s="2" t="s">
        <v>36</v>
      </c>
    </row>
    <row r="27" spans="2:3" ht="15" customHeight="1" x14ac:dyDescent="0.35">
      <c r="B27" s="6" t="s">
        <v>37</v>
      </c>
      <c r="C27" s="2" t="s">
        <v>38</v>
      </c>
    </row>
    <row r="28" spans="2:3" ht="15" customHeight="1" x14ac:dyDescent="0.35">
      <c r="B28" s="7" t="s">
        <v>39</v>
      </c>
      <c r="C28" s="2" t="s">
        <v>40</v>
      </c>
    </row>
    <row r="29" spans="2:3" ht="15" customHeight="1" x14ac:dyDescent="0.35">
      <c r="B29" s="8" t="s">
        <v>41</v>
      </c>
      <c r="C29" s="2" t="s">
        <v>42</v>
      </c>
    </row>
    <row r="31" spans="2:3" ht="20.149999999999999" customHeight="1" x14ac:dyDescent="0.35">
      <c r="B31" s="48" t="s">
        <v>43</v>
      </c>
      <c r="C31" s="45"/>
    </row>
    <row r="32" spans="2:3" ht="15" customHeight="1" x14ac:dyDescent="0.35">
      <c r="B32" s="1" t="s">
        <v>44</v>
      </c>
      <c r="C32" s="2" t="s">
        <v>45</v>
      </c>
    </row>
    <row r="33" spans="2:3" ht="15" customHeight="1" x14ac:dyDescent="0.35">
      <c r="B33" s="1" t="s">
        <v>46</v>
      </c>
      <c r="C33" s="2" t="s">
        <v>47</v>
      </c>
    </row>
    <row r="34" spans="2:3" ht="15" customHeight="1" x14ac:dyDescent="0.35">
      <c r="B34" s="1" t="s">
        <v>48</v>
      </c>
      <c r="C34" s="2" t="s">
        <v>49</v>
      </c>
    </row>
    <row r="35" spans="2:3" ht="15" customHeight="1" x14ac:dyDescent="0.35">
      <c r="B35" s="1" t="s">
        <v>50</v>
      </c>
      <c r="C35" s="2" t="s">
        <v>51</v>
      </c>
    </row>
    <row r="36" spans="2:3" ht="15" customHeight="1" x14ac:dyDescent="0.35">
      <c r="B36" s="1" t="s">
        <v>52</v>
      </c>
      <c r="C36" s="2" t="s">
        <v>53</v>
      </c>
    </row>
    <row r="38" spans="2:3" ht="30" customHeight="1" x14ac:dyDescent="0.35">
      <c r="B38" s="49" t="s">
        <v>54</v>
      </c>
      <c r="C38" s="45"/>
    </row>
  </sheetData>
  <mergeCells count="7">
    <mergeCell ref="B6:C6"/>
    <mergeCell ref="B38:C38"/>
    <mergeCell ref="B2:C2"/>
    <mergeCell ref="B22:C22"/>
    <mergeCell ref="B14:C14"/>
    <mergeCell ref="B31:C3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7"/>
  <sheetViews>
    <sheetView workbookViewId="0">
      <pane ySplit="7" topLeftCell="A8" activePane="bottomLeft" state="frozen"/>
      <selection pane="bottomLeft" activeCell="H8" sqref="H8"/>
    </sheetView>
  </sheetViews>
  <sheetFormatPr baseColWidth="10" defaultColWidth="9.1796875" defaultRowHeight="14.5" x14ac:dyDescent="0.35"/>
  <cols>
    <col min="1" max="1" width="8" customWidth="1"/>
    <col min="2" max="2" width="11" customWidth="1"/>
    <col min="3" max="3" width="27" customWidth="1"/>
    <col min="4" max="4" width="40" customWidth="1"/>
    <col min="5" max="5" width="30" customWidth="1"/>
    <col min="6" max="6" width="34" customWidth="1"/>
    <col min="7" max="7" width="30" customWidth="1"/>
    <col min="8" max="8" width="14" customWidth="1"/>
    <col min="9" max="9" width="10" customWidth="1"/>
    <col min="10" max="10" width="26" customWidth="1"/>
  </cols>
  <sheetData>
    <row r="1" spans="1:10" ht="26.15" customHeight="1" x14ac:dyDescent="0.35">
      <c r="A1" s="46" t="s">
        <v>55</v>
      </c>
      <c r="B1" s="45"/>
      <c r="C1" s="45"/>
      <c r="D1" s="45"/>
      <c r="E1" s="45"/>
      <c r="F1" s="45"/>
      <c r="G1" s="45"/>
      <c r="H1" s="45"/>
      <c r="I1" s="45"/>
      <c r="J1" s="45"/>
    </row>
    <row r="3" spans="1:10" x14ac:dyDescent="0.35">
      <c r="A3" s="9" t="s">
        <v>56</v>
      </c>
      <c r="B3" s="10" t="s">
        <v>57</v>
      </c>
      <c r="D3" s="9" t="s">
        <v>58</v>
      </c>
      <c r="E3" s="10" t="s">
        <v>59</v>
      </c>
    </row>
    <row r="4" spans="1:10" x14ac:dyDescent="0.35">
      <c r="A4" s="9" t="s">
        <v>60</v>
      </c>
      <c r="B4" s="10"/>
      <c r="D4" s="9" t="s">
        <v>61</v>
      </c>
      <c r="E4" s="10"/>
    </row>
    <row r="5" spans="1:10" x14ac:dyDescent="0.35">
      <c r="A5" s="9" t="s">
        <v>62</v>
      </c>
      <c r="B5" s="10" t="s">
        <v>63</v>
      </c>
      <c r="D5" s="9" t="s">
        <v>64</v>
      </c>
      <c r="E5" s="10" t="s">
        <v>65</v>
      </c>
    </row>
    <row r="6" spans="1:10" ht="26.15" customHeight="1" x14ac:dyDescent="0.35">
      <c r="A6" s="52" t="s">
        <v>66</v>
      </c>
      <c r="B6" s="45"/>
      <c r="C6" s="45"/>
      <c r="D6" s="45"/>
      <c r="E6" s="45"/>
      <c r="F6" s="45"/>
      <c r="G6" s="45"/>
      <c r="H6" s="45"/>
      <c r="I6" s="45"/>
      <c r="J6" s="45"/>
    </row>
    <row r="7" spans="1:10" ht="32.15" customHeight="1" x14ac:dyDescent="0.35">
      <c r="A7" s="11" t="s">
        <v>67</v>
      </c>
      <c r="B7" s="11" t="s">
        <v>68</v>
      </c>
      <c r="C7" s="11" t="s">
        <v>69</v>
      </c>
      <c r="D7" s="11" t="s">
        <v>70</v>
      </c>
      <c r="E7" s="11" t="s">
        <v>71</v>
      </c>
      <c r="F7" s="11" t="s">
        <v>72</v>
      </c>
      <c r="G7" s="11" t="s">
        <v>73</v>
      </c>
      <c r="H7" s="11" t="s">
        <v>74</v>
      </c>
      <c r="I7" s="11" t="s">
        <v>75</v>
      </c>
      <c r="J7" s="11" t="s">
        <v>76</v>
      </c>
    </row>
    <row r="8" spans="1:10" ht="30" customHeight="1" x14ac:dyDescent="0.35">
      <c r="A8" s="12" t="s">
        <v>77</v>
      </c>
      <c r="B8" s="13" t="s">
        <v>78</v>
      </c>
      <c r="C8" s="13" t="s">
        <v>79</v>
      </c>
      <c r="D8" s="13" t="s">
        <v>80</v>
      </c>
      <c r="E8" s="13" t="s">
        <v>81</v>
      </c>
      <c r="F8" s="13" t="s">
        <v>82</v>
      </c>
      <c r="G8" s="13" t="s">
        <v>83</v>
      </c>
      <c r="H8" s="12" t="s">
        <v>84</v>
      </c>
      <c r="I8" s="12" t="s">
        <v>85</v>
      </c>
      <c r="J8" s="13" t="s">
        <v>86</v>
      </c>
    </row>
    <row r="9" spans="1:10" ht="30" customHeight="1" x14ac:dyDescent="0.35">
      <c r="A9" s="14" t="s">
        <v>87</v>
      </c>
      <c r="B9" s="15" t="s">
        <v>88</v>
      </c>
      <c r="C9" s="15" t="s">
        <v>79</v>
      </c>
      <c r="D9" s="15" t="s">
        <v>89</v>
      </c>
      <c r="E9" s="15" t="s">
        <v>90</v>
      </c>
      <c r="F9" s="15" t="s">
        <v>91</v>
      </c>
      <c r="G9" s="16"/>
      <c r="H9" s="16"/>
      <c r="I9" s="16"/>
      <c r="J9" s="16"/>
    </row>
    <row r="10" spans="1:10" ht="30" customHeight="1" x14ac:dyDescent="0.35">
      <c r="A10" s="17" t="s">
        <v>92</v>
      </c>
      <c r="B10" s="18" t="s">
        <v>88</v>
      </c>
      <c r="C10" s="18" t="s">
        <v>93</v>
      </c>
      <c r="D10" s="18" t="s">
        <v>94</v>
      </c>
      <c r="E10" s="18" t="s">
        <v>95</v>
      </c>
      <c r="F10" s="18" t="s">
        <v>96</v>
      </c>
      <c r="G10" s="19"/>
      <c r="H10" s="19"/>
      <c r="I10" s="19"/>
      <c r="J10" s="19"/>
    </row>
    <row r="11" spans="1:10" ht="30" customHeight="1" x14ac:dyDescent="0.35">
      <c r="A11" s="14" t="s">
        <v>97</v>
      </c>
      <c r="B11" s="15" t="s">
        <v>88</v>
      </c>
      <c r="C11" s="15" t="s">
        <v>93</v>
      </c>
      <c r="D11" s="15" t="s">
        <v>98</v>
      </c>
      <c r="E11" s="15" t="s">
        <v>99</v>
      </c>
      <c r="F11" s="15" t="s">
        <v>100</v>
      </c>
      <c r="G11" s="16"/>
      <c r="H11" s="16"/>
      <c r="I11" s="16"/>
      <c r="J11" s="16"/>
    </row>
    <row r="12" spans="1:10" ht="30" customHeight="1" x14ac:dyDescent="0.35">
      <c r="A12" s="17" t="s">
        <v>101</v>
      </c>
      <c r="B12" s="18" t="s">
        <v>88</v>
      </c>
      <c r="C12" s="18" t="s">
        <v>102</v>
      </c>
      <c r="D12" s="18" t="s">
        <v>103</v>
      </c>
      <c r="E12" s="18" t="s">
        <v>104</v>
      </c>
      <c r="F12" s="18" t="s">
        <v>105</v>
      </c>
      <c r="G12" s="19"/>
      <c r="H12" s="19"/>
      <c r="I12" s="19"/>
      <c r="J12" s="19"/>
    </row>
    <row r="13" spans="1:10" ht="30" customHeight="1" x14ac:dyDescent="0.35">
      <c r="A13" s="14" t="s">
        <v>106</v>
      </c>
      <c r="B13" s="15" t="s">
        <v>88</v>
      </c>
      <c r="C13" s="15" t="s">
        <v>107</v>
      </c>
      <c r="D13" s="15" t="s">
        <v>108</v>
      </c>
      <c r="E13" s="15" t="s">
        <v>109</v>
      </c>
      <c r="F13" s="15" t="s">
        <v>110</v>
      </c>
      <c r="G13" s="16"/>
      <c r="H13" s="16"/>
      <c r="I13" s="16"/>
      <c r="J13" s="16"/>
    </row>
    <row r="14" spans="1:10" ht="30" customHeight="1" x14ac:dyDescent="0.35">
      <c r="A14" s="17" t="s">
        <v>111</v>
      </c>
      <c r="B14" s="18" t="s">
        <v>112</v>
      </c>
      <c r="C14" s="18" t="s">
        <v>113</v>
      </c>
      <c r="D14" s="18" t="s">
        <v>114</v>
      </c>
      <c r="E14" s="18" t="s">
        <v>115</v>
      </c>
      <c r="F14" s="18" t="s">
        <v>116</v>
      </c>
      <c r="G14" s="19"/>
      <c r="H14" s="19"/>
      <c r="I14" s="19"/>
      <c r="J14" s="19"/>
    </row>
    <row r="15" spans="1:10" ht="30" customHeight="1" x14ac:dyDescent="0.35">
      <c r="A15" s="14" t="s">
        <v>117</v>
      </c>
      <c r="B15" s="15" t="s">
        <v>112</v>
      </c>
      <c r="C15" s="15" t="s">
        <v>113</v>
      </c>
      <c r="D15" s="15" t="s">
        <v>118</v>
      </c>
      <c r="E15" s="15" t="s">
        <v>119</v>
      </c>
      <c r="F15" s="15" t="s">
        <v>120</v>
      </c>
      <c r="G15" s="16"/>
      <c r="H15" s="16"/>
      <c r="I15" s="16"/>
      <c r="J15" s="16"/>
    </row>
    <row r="16" spans="1:10" ht="30" customHeight="1" x14ac:dyDescent="0.35">
      <c r="A16" s="17" t="s">
        <v>121</v>
      </c>
      <c r="B16" s="18" t="s">
        <v>112</v>
      </c>
      <c r="C16" s="18" t="s">
        <v>113</v>
      </c>
      <c r="D16" s="18" t="s">
        <v>122</v>
      </c>
      <c r="E16" s="18" t="s">
        <v>123</v>
      </c>
      <c r="F16" s="18" t="s">
        <v>124</v>
      </c>
      <c r="G16" s="19"/>
      <c r="H16" s="19"/>
      <c r="I16" s="19"/>
      <c r="J16" s="19"/>
    </row>
    <row r="17" spans="1:10" ht="30" customHeight="1" x14ac:dyDescent="0.35">
      <c r="A17" s="14" t="s">
        <v>125</v>
      </c>
      <c r="B17" s="15" t="s">
        <v>112</v>
      </c>
      <c r="C17" s="15" t="s">
        <v>113</v>
      </c>
      <c r="D17" s="15" t="s">
        <v>126</v>
      </c>
      <c r="E17" s="15" t="s">
        <v>127</v>
      </c>
      <c r="F17" s="15" t="s">
        <v>128</v>
      </c>
      <c r="G17" s="16"/>
      <c r="H17" s="16"/>
      <c r="I17" s="16"/>
      <c r="J17" s="16"/>
    </row>
    <row r="18" spans="1:10" ht="30" customHeight="1" x14ac:dyDescent="0.35">
      <c r="A18" s="17" t="s">
        <v>129</v>
      </c>
      <c r="B18" s="18" t="s">
        <v>130</v>
      </c>
      <c r="C18" s="18" t="s">
        <v>131</v>
      </c>
      <c r="D18" s="18" t="s">
        <v>132</v>
      </c>
      <c r="E18" s="18" t="s">
        <v>133</v>
      </c>
      <c r="F18" s="18" t="s">
        <v>134</v>
      </c>
      <c r="G18" s="19"/>
      <c r="H18" s="19"/>
      <c r="I18" s="19"/>
      <c r="J18" s="19"/>
    </row>
    <row r="19" spans="1:10" ht="30" customHeight="1" x14ac:dyDescent="0.35">
      <c r="A19" s="15"/>
      <c r="B19" s="15"/>
      <c r="C19" s="15"/>
      <c r="D19" s="15"/>
      <c r="E19" s="15"/>
      <c r="F19" s="15"/>
      <c r="G19" s="16"/>
      <c r="H19" s="16"/>
      <c r="I19" s="16"/>
      <c r="J19" s="16"/>
    </row>
    <row r="20" spans="1:10" ht="30" customHeight="1" x14ac:dyDescent="0.35">
      <c r="A20" s="18"/>
      <c r="B20" s="18"/>
      <c r="C20" s="18"/>
      <c r="D20" s="18"/>
      <c r="E20" s="18"/>
      <c r="F20" s="18"/>
      <c r="G20" s="19"/>
      <c r="H20" s="19"/>
      <c r="I20" s="19"/>
      <c r="J20" s="19"/>
    </row>
    <row r="21" spans="1:10" ht="30" customHeight="1" x14ac:dyDescent="0.35">
      <c r="A21" s="15"/>
      <c r="B21" s="15"/>
      <c r="C21" s="15"/>
      <c r="D21" s="15"/>
      <c r="E21" s="15"/>
      <c r="F21" s="15"/>
      <c r="G21" s="16"/>
      <c r="H21" s="16"/>
      <c r="I21" s="16"/>
      <c r="J21" s="16"/>
    </row>
    <row r="22" spans="1:10" ht="30" customHeight="1" x14ac:dyDescent="0.35">
      <c r="A22" s="18"/>
      <c r="B22" s="18"/>
      <c r="C22" s="18"/>
      <c r="D22" s="18"/>
      <c r="E22" s="18"/>
      <c r="F22" s="18"/>
      <c r="G22" s="19"/>
      <c r="H22" s="19"/>
      <c r="I22" s="19"/>
      <c r="J22" s="19"/>
    </row>
    <row r="23" spans="1:10" ht="30" customHeight="1" x14ac:dyDescent="0.35">
      <c r="A23" s="15"/>
      <c r="B23" s="15"/>
      <c r="C23" s="15"/>
      <c r="D23" s="15"/>
      <c r="E23" s="15"/>
      <c r="F23" s="15"/>
      <c r="G23" s="16"/>
      <c r="H23" s="16"/>
      <c r="I23" s="16"/>
      <c r="J23" s="16"/>
    </row>
    <row r="24" spans="1:10" ht="30" customHeight="1" x14ac:dyDescent="0.35">
      <c r="A24" s="18"/>
      <c r="B24" s="18"/>
      <c r="C24" s="18"/>
      <c r="D24" s="18"/>
      <c r="E24" s="18"/>
      <c r="F24" s="18"/>
      <c r="G24" s="19"/>
      <c r="H24" s="19"/>
      <c r="I24" s="19"/>
      <c r="J24" s="19"/>
    </row>
    <row r="25" spans="1:10" ht="30" customHeight="1" x14ac:dyDescent="0.35">
      <c r="A25" s="15"/>
      <c r="B25" s="15"/>
      <c r="C25" s="15"/>
      <c r="D25" s="15"/>
      <c r="E25" s="15"/>
      <c r="F25" s="15"/>
      <c r="G25" s="16"/>
      <c r="H25" s="16"/>
      <c r="I25" s="16"/>
      <c r="J25" s="16"/>
    </row>
    <row r="26" spans="1:10" ht="30" customHeight="1" x14ac:dyDescent="0.35">
      <c r="A26" s="18"/>
      <c r="B26" s="18"/>
      <c r="C26" s="18"/>
      <c r="D26" s="18"/>
      <c r="E26" s="18"/>
      <c r="F26" s="18"/>
      <c r="G26" s="19"/>
      <c r="H26" s="19"/>
      <c r="I26" s="19"/>
      <c r="J26" s="19"/>
    </row>
    <row r="27" spans="1:10" ht="30" customHeight="1" x14ac:dyDescent="0.35">
      <c r="A27" s="15"/>
      <c r="B27" s="15"/>
      <c r="C27" s="15"/>
      <c r="D27" s="15"/>
      <c r="E27" s="15"/>
      <c r="F27" s="15"/>
      <c r="G27" s="16"/>
      <c r="H27" s="16"/>
      <c r="I27" s="16"/>
      <c r="J27" s="16"/>
    </row>
    <row r="28" spans="1:10" ht="30" customHeight="1" x14ac:dyDescent="0.35">
      <c r="A28" s="18"/>
      <c r="B28" s="18"/>
      <c r="C28" s="18"/>
      <c r="D28" s="18"/>
      <c r="E28" s="18"/>
      <c r="F28" s="18"/>
      <c r="G28" s="19"/>
      <c r="H28" s="19"/>
      <c r="I28" s="19"/>
      <c r="J28" s="19"/>
    </row>
    <row r="29" spans="1:10" ht="30" customHeight="1" x14ac:dyDescent="0.35">
      <c r="A29" s="15"/>
      <c r="B29" s="15"/>
      <c r="C29" s="15"/>
      <c r="D29" s="15"/>
      <c r="E29" s="15"/>
      <c r="F29" s="15"/>
      <c r="G29" s="16"/>
      <c r="H29" s="16"/>
      <c r="I29" s="16"/>
      <c r="J29" s="16"/>
    </row>
    <row r="30" spans="1:10" ht="30" customHeight="1" x14ac:dyDescent="0.35">
      <c r="A30" s="18"/>
      <c r="B30" s="18"/>
      <c r="C30" s="18"/>
      <c r="D30" s="18"/>
      <c r="E30" s="18"/>
      <c r="F30" s="18"/>
      <c r="G30" s="19"/>
      <c r="H30" s="19"/>
      <c r="I30" s="19"/>
      <c r="J30" s="19"/>
    </row>
    <row r="31" spans="1:10" ht="30" customHeight="1" x14ac:dyDescent="0.35">
      <c r="A31" s="15"/>
      <c r="B31" s="15"/>
      <c r="C31" s="15"/>
      <c r="D31" s="15"/>
      <c r="E31" s="15"/>
      <c r="F31" s="15"/>
      <c r="G31" s="16"/>
      <c r="H31" s="16"/>
      <c r="I31" s="16"/>
      <c r="J31" s="16"/>
    </row>
    <row r="32" spans="1:10" ht="30" customHeight="1" x14ac:dyDescent="0.35">
      <c r="A32" s="18"/>
      <c r="B32" s="18"/>
      <c r="C32" s="18"/>
      <c r="D32" s="18"/>
      <c r="E32" s="18"/>
      <c r="F32" s="18"/>
      <c r="G32" s="19"/>
      <c r="H32" s="19"/>
      <c r="I32" s="19"/>
      <c r="J32" s="19"/>
    </row>
    <row r="33" spans="1:10" ht="30" customHeight="1" x14ac:dyDescent="0.35">
      <c r="A33" s="15"/>
      <c r="B33" s="15"/>
      <c r="C33" s="15"/>
      <c r="D33" s="15"/>
      <c r="E33" s="15"/>
      <c r="F33" s="15"/>
      <c r="G33" s="16"/>
      <c r="H33" s="16"/>
      <c r="I33" s="16"/>
      <c r="J33" s="16"/>
    </row>
    <row r="34" spans="1:10" ht="30" customHeight="1" x14ac:dyDescent="0.35">
      <c r="A34" s="18"/>
      <c r="B34" s="18"/>
      <c r="C34" s="18"/>
      <c r="D34" s="18"/>
      <c r="E34" s="18"/>
      <c r="F34" s="18"/>
      <c r="G34" s="19"/>
      <c r="H34" s="19"/>
      <c r="I34" s="19"/>
      <c r="J34" s="19"/>
    </row>
    <row r="35" spans="1:10" ht="30" customHeight="1" x14ac:dyDescent="0.35">
      <c r="A35" s="15"/>
      <c r="B35" s="15"/>
      <c r="C35" s="15"/>
      <c r="D35" s="15"/>
      <c r="E35" s="15"/>
      <c r="F35" s="15"/>
      <c r="G35" s="16"/>
      <c r="H35" s="16"/>
      <c r="I35" s="16"/>
      <c r="J35" s="16"/>
    </row>
    <row r="36" spans="1:10" ht="30" customHeight="1" x14ac:dyDescent="0.35">
      <c r="A36" s="18"/>
      <c r="B36" s="18"/>
      <c r="C36" s="18"/>
      <c r="D36" s="18"/>
      <c r="E36" s="18"/>
      <c r="F36" s="18"/>
      <c r="G36" s="19"/>
      <c r="H36" s="19"/>
      <c r="I36" s="19"/>
      <c r="J36" s="19"/>
    </row>
    <row r="37" spans="1:10" ht="30" customHeight="1" x14ac:dyDescent="0.35">
      <c r="A37" s="15"/>
      <c r="B37" s="15"/>
      <c r="C37" s="15"/>
      <c r="D37" s="15"/>
      <c r="E37" s="15"/>
      <c r="F37" s="15"/>
      <c r="G37" s="16"/>
      <c r="H37" s="16"/>
      <c r="I37" s="16"/>
      <c r="J37" s="16"/>
    </row>
    <row r="38" spans="1:10" ht="30" customHeight="1" x14ac:dyDescent="0.35">
      <c r="A38" s="18"/>
      <c r="B38" s="18"/>
      <c r="C38" s="18"/>
      <c r="D38" s="18"/>
      <c r="E38" s="18"/>
      <c r="F38" s="18"/>
      <c r="G38" s="19"/>
      <c r="H38" s="19"/>
      <c r="I38" s="19"/>
      <c r="J38" s="19"/>
    </row>
    <row r="39" spans="1:10" ht="30" customHeight="1" x14ac:dyDescent="0.35">
      <c r="A39" s="15"/>
      <c r="B39" s="15"/>
      <c r="C39" s="15"/>
      <c r="D39" s="15"/>
      <c r="E39" s="15"/>
      <c r="F39" s="15"/>
      <c r="G39" s="16"/>
      <c r="H39" s="16"/>
      <c r="I39" s="16"/>
      <c r="J39" s="16"/>
    </row>
    <row r="40" spans="1:10" ht="30" customHeight="1" x14ac:dyDescent="0.35">
      <c r="A40" s="18"/>
      <c r="B40" s="18"/>
      <c r="C40" s="18"/>
      <c r="D40" s="18"/>
      <c r="E40" s="18"/>
      <c r="F40" s="18"/>
      <c r="G40" s="19"/>
      <c r="H40" s="19"/>
      <c r="I40" s="19"/>
      <c r="J40" s="19"/>
    </row>
    <row r="41" spans="1:10" ht="30" customHeight="1" x14ac:dyDescent="0.35">
      <c r="A41" s="15"/>
      <c r="B41" s="15"/>
      <c r="C41" s="15"/>
      <c r="D41" s="15"/>
      <c r="E41" s="15"/>
      <c r="F41" s="15"/>
      <c r="G41" s="16"/>
      <c r="H41" s="16"/>
      <c r="I41" s="16"/>
      <c r="J41" s="16"/>
    </row>
    <row r="42" spans="1:10" ht="30" customHeight="1" x14ac:dyDescent="0.35">
      <c r="A42" s="18"/>
      <c r="B42" s="18"/>
      <c r="C42" s="18"/>
      <c r="D42" s="18"/>
      <c r="E42" s="18"/>
      <c r="F42" s="18"/>
      <c r="G42" s="19"/>
      <c r="H42" s="19"/>
      <c r="I42" s="19"/>
      <c r="J42" s="19"/>
    </row>
    <row r="43" spans="1:10" ht="30" customHeight="1" x14ac:dyDescent="0.35">
      <c r="A43" s="15"/>
      <c r="B43" s="15"/>
      <c r="C43" s="15"/>
      <c r="D43" s="15"/>
      <c r="E43" s="15"/>
      <c r="F43" s="15"/>
      <c r="G43" s="16"/>
      <c r="H43" s="16"/>
      <c r="I43" s="16"/>
      <c r="J43" s="16"/>
    </row>
    <row r="44" spans="1:10" ht="30" customHeight="1" x14ac:dyDescent="0.35">
      <c r="A44" s="18"/>
      <c r="B44" s="18"/>
      <c r="C44" s="18"/>
      <c r="D44" s="18"/>
      <c r="E44" s="18"/>
      <c r="F44" s="18"/>
      <c r="G44" s="19"/>
      <c r="H44" s="19"/>
      <c r="I44" s="19"/>
      <c r="J44" s="19"/>
    </row>
    <row r="45" spans="1:10" ht="30" customHeight="1" x14ac:dyDescent="0.35">
      <c r="A45" s="15"/>
      <c r="B45" s="15"/>
      <c r="C45" s="15"/>
      <c r="D45" s="15"/>
      <c r="E45" s="15"/>
      <c r="F45" s="15"/>
      <c r="G45" s="16"/>
      <c r="H45" s="16"/>
      <c r="I45" s="16"/>
      <c r="J45" s="16"/>
    </row>
    <row r="46" spans="1:10" ht="30" customHeight="1" x14ac:dyDescent="0.35">
      <c r="A46" s="18"/>
      <c r="B46" s="18"/>
      <c r="C46" s="18"/>
      <c r="D46" s="18"/>
      <c r="E46" s="18"/>
      <c r="F46" s="18"/>
      <c r="G46" s="19"/>
      <c r="H46" s="19"/>
      <c r="I46" s="19"/>
      <c r="J46" s="19"/>
    </row>
    <row r="47" spans="1:10" ht="30" customHeight="1" x14ac:dyDescent="0.35">
      <c r="A47" s="15"/>
      <c r="B47" s="15"/>
      <c r="C47" s="15"/>
      <c r="D47" s="15"/>
      <c r="E47" s="15"/>
      <c r="F47" s="15"/>
      <c r="G47" s="16"/>
      <c r="H47" s="16"/>
      <c r="I47" s="16"/>
      <c r="J47" s="16"/>
    </row>
    <row r="48" spans="1:10" ht="30" customHeight="1" x14ac:dyDescent="0.35">
      <c r="A48" s="18"/>
      <c r="B48" s="18"/>
      <c r="C48" s="18"/>
      <c r="D48" s="18"/>
      <c r="E48" s="18"/>
      <c r="F48" s="18"/>
      <c r="G48" s="19"/>
      <c r="H48" s="19"/>
      <c r="I48" s="19"/>
      <c r="J48" s="19"/>
    </row>
    <row r="49" spans="1:10" ht="30" customHeight="1" x14ac:dyDescent="0.35">
      <c r="A49" s="15"/>
      <c r="B49" s="15"/>
      <c r="C49" s="15"/>
      <c r="D49" s="15"/>
      <c r="E49" s="15"/>
      <c r="F49" s="15"/>
      <c r="G49" s="16"/>
      <c r="H49" s="16"/>
      <c r="I49" s="16"/>
      <c r="J49" s="16"/>
    </row>
    <row r="50" spans="1:10" ht="30" customHeight="1" x14ac:dyDescent="0.35">
      <c r="A50" s="18"/>
      <c r="B50" s="18"/>
      <c r="C50" s="18"/>
      <c r="D50" s="18"/>
      <c r="E50" s="18"/>
      <c r="F50" s="18"/>
      <c r="G50" s="19"/>
      <c r="H50" s="19"/>
      <c r="I50" s="19"/>
      <c r="J50" s="19"/>
    </row>
    <row r="51" spans="1:10" ht="30" customHeight="1" x14ac:dyDescent="0.35">
      <c r="A51" s="15"/>
      <c r="B51" s="15"/>
      <c r="C51" s="15"/>
      <c r="D51" s="15"/>
      <c r="E51" s="15"/>
      <c r="F51" s="15"/>
      <c r="G51" s="16"/>
      <c r="H51" s="16"/>
      <c r="I51" s="16"/>
      <c r="J51" s="16"/>
    </row>
    <row r="52" spans="1:10" ht="30" customHeight="1" x14ac:dyDescent="0.35">
      <c r="A52" s="18"/>
      <c r="B52" s="18"/>
      <c r="C52" s="18"/>
      <c r="D52" s="18"/>
      <c r="E52" s="18"/>
      <c r="F52" s="18"/>
      <c r="G52" s="19"/>
      <c r="H52" s="19"/>
      <c r="I52" s="19"/>
      <c r="J52" s="19"/>
    </row>
    <row r="53" spans="1:10" ht="30" customHeight="1" x14ac:dyDescent="0.35">
      <c r="A53" s="15"/>
      <c r="B53" s="15"/>
      <c r="C53" s="15"/>
      <c r="D53" s="15"/>
      <c r="E53" s="15"/>
      <c r="F53" s="15"/>
      <c r="G53" s="16"/>
      <c r="H53" s="16"/>
      <c r="I53" s="16"/>
      <c r="J53" s="16"/>
    </row>
    <row r="54" spans="1:10" ht="30" customHeight="1" x14ac:dyDescent="0.35">
      <c r="A54" s="18"/>
      <c r="B54" s="18"/>
      <c r="C54" s="18"/>
      <c r="D54" s="18"/>
      <c r="E54" s="18"/>
      <c r="F54" s="18"/>
      <c r="G54" s="19"/>
      <c r="H54" s="19"/>
      <c r="I54" s="19"/>
      <c r="J54" s="19"/>
    </row>
    <row r="55" spans="1:10" ht="30" customHeight="1" x14ac:dyDescent="0.35">
      <c r="A55" s="15"/>
      <c r="B55" s="15"/>
      <c r="C55" s="15"/>
      <c r="D55" s="15"/>
      <c r="E55" s="15"/>
      <c r="F55" s="15"/>
      <c r="G55" s="16"/>
      <c r="H55" s="16"/>
      <c r="I55" s="16"/>
      <c r="J55" s="16"/>
    </row>
    <row r="56" spans="1:10" ht="30" customHeight="1" x14ac:dyDescent="0.35">
      <c r="A56" s="18"/>
      <c r="B56" s="18"/>
      <c r="C56" s="18"/>
      <c r="D56" s="18"/>
      <c r="E56" s="18"/>
      <c r="F56" s="18"/>
      <c r="G56" s="19"/>
      <c r="H56" s="19"/>
      <c r="I56" s="19"/>
      <c r="J56" s="19"/>
    </row>
    <row r="57" spans="1:10" ht="30" customHeight="1" x14ac:dyDescent="0.35">
      <c r="A57" s="15"/>
      <c r="B57" s="15"/>
      <c r="C57" s="15"/>
      <c r="D57" s="15"/>
      <c r="E57" s="15"/>
      <c r="F57" s="15"/>
      <c r="G57" s="16"/>
      <c r="H57" s="16"/>
      <c r="I57" s="16"/>
      <c r="J57" s="16"/>
    </row>
    <row r="58" spans="1:10" ht="30" customHeight="1" x14ac:dyDescent="0.35">
      <c r="A58" s="18"/>
      <c r="B58" s="18"/>
      <c r="C58" s="18"/>
      <c r="D58" s="18"/>
      <c r="E58" s="18"/>
      <c r="F58" s="18"/>
      <c r="G58" s="19"/>
      <c r="H58" s="19"/>
      <c r="I58" s="19"/>
      <c r="J58" s="19"/>
    </row>
    <row r="59" spans="1:10" ht="30" customHeight="1" x14ac:dyDescent="0.35">
      <c r="A59" s="15"/>
      <c r="B59" s="15"/>
      <c r="C59" s="15"/>
      <c r="D59" s="15"/>
      <c r="E59" s="15"/>
      <c r="F59" s="15"/>
      <c r="G59" s="16"/>
      <c r="H59" s="16"/>
      <c r="I59" s="16"/>
      <c r="J59" s="16"/>
    </row>
    <row r="60" spans="1:10" ht="30" customHeight="1" x14ac:dyDescent="0.35">
      <c r="A60" s="18"/>
      <c r="B60" s="18"/>
      <c r="C60" s="18"/>
      <c r="D60" s="18"/>
      <c r="E60" s="18"/>
      <c r="F60" s="18"/>
      <c r="G60" s="19"/>
      <c r="H60" s="19"/>
      <c r="I60" s="19"/>
      <c r="J60" s="19"/>
    </row>
    <row r="61" spans="1:10" ht="30" customHeight="1" x14ac:dyDescent="0.35">
      <c r="A61" s="15"/>
      <c r="B61" s="15"/>
      <c r="C61" s="15"/>
      <c r="D61" s="15"/>
      <c r="E61" s="15"/>
      <c r="F61" s="15"/>
      <c r="G61" s="16"/>
      <c r="H61" s="16"/>
      <c r="I61" s="16"/>
      <c r="J61" s="16"/>
    </row>
    <row r="62" spans="1:10" ht="30" customHeight="1" x14ac:dyDescent="0.35">
      <c r="A62" s="18"/>
      <c r="B62" s="18"/>
      <c r="C62" s="18"/>
      <c r="D62" s="18"/>
      <c r="E62" s="18"/>
      <c r="F62" s="18"/>
      <c r="G62" s="19"/>
      <c r="H62" s="19"/>
      <c r="I62" s="19"/>
      <c r="J62" s="19"/>
    </row>
    <row r="63" spans="1:10" ht="30" customHeight="1" x14ac:dyDescent="0.35">
      <c r="A63" s="15"/>
      <c r="B63" s="15"/>
      <c r="C63" s="15"/>
      <c r="D63" s="15"/>
      <c r="E63" s="15"/>
      <c r="F63" s="15"/>
      <c r="G63" s="16"/>
      <c r="H63" s="16"/>
      <c r="I63" s="16"/>
      <c r="J63" s="16"/>
    </row>
    <row r="64" spans="1:10" ht="30" customHeight="1" x14ac:dyDescent="0.35">
      <c r="A64" s="18"/>
      <c r="B64" s="18"/>
      <c r="C64" s="18"/>
      <c r="D64" s="18"/>
      <c r="E64" s="18"/>
      <c r="F64" s="18"/>
      <c r="G64" s="19"/>
      <c r="H64" s="19"/>
      <c r="I64" s="19"/>
      <c r="J64" s="19"/>
    </row>
    <row r="65" spans="1:10" ht="30" customHeight="1" x14ac:dyDescent="0.35">
      <c r="A65" s="15"/>
      <c r="B65" s="15"/>
      <c r="C65" s="15"/>
      <c r="D65" s="15"/>
      <c r="E65" s="15"/>
      <c r="F65" s="15"/>
      <c r="G65" s="16"/>
      <c r="H65" s="16"/>
      <c r="I65" s="16"/>
      <c r="J65" s="16"/>
    </row>
    <row r="66" spans="1:10" ht="30" customHeight="1" x14ac:dyDescent="0.35">
      <c r="A66" s="18"/>
      <c r="B66" s="18"/>
      <c r="C66" s="18"/>
      <c r="D66" s="18"/>
      <c r="E66" s="18"/>
      <c r="F66" s="18"/>
      <c r="G66" s="19"/>
      <c r="H66" s="19"/>
      <c r="I66" s="19"/>
      <c r="J66" s="19"/>
    </row>
    <row r="67" spans="1:10" ht="30" customHeight="1" x14ac:dyDescent="0.35">
      <c r="A67" s="15"/>
      <c r="B67" s="15"/>
      <c r="C67" s="15"/>
      <c r="D67" s="15"/>
      <c r="E67" s="15"/>
      <c r="F67" s="15"/>
      <c r="G67" s="16"/>
      <c r="H67" s="16"/>
      <c r="I67" s="16"/>
      <c r="J67" s="16"/>
    </row>
  </sheetData>
  <mergeCells count="2">
    <mergeCell ref="A6:J6"/>
    <mergeCell ref="A1:J1"/>
  </mergeCells>
  <conditionalFormatting sqref="H8:H67">
    <cfRule type="cellIs" dxfId="19" priority="1" operator="equal">
      <formula>"APROBADA"</formula>
    </cfRule>
    <cfRule type="cellIs" dxfId="18" priority="2" operator="equal">
      <formula>"FALLIDA"</formula>
    </cfRule>
    <cfRule type="cellIs" dxfId="17" priority="3" operator="equal">
      <formula>"OBSERVACION"</formula>
    </cfRule>
    <cfRule type="cellIs" dxfId="16" priority="4" operator="equal">
      <formula>"BLOQUEADA"</formula>
    </cfRule>
  </conditionalFormatting>
  <dataValidations count="1">
    <dataValidation type="list" allowBlank="1" errorTitle="Estado no valido" error="Elija: APROBADA, FALLIDA, BLOQUEADA u OBSERVACION." sqref="H8:H67" xr:uid="{00000000-0002-0000-0100-000000000000}">
      <formula1>"APROBADA,FALLIDA,BLOQUEADA,OBSERVACION"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7"/>
  <sheetViews>
    <sheetView workbookViewId="0">
      <pane ySplit="7" topLeftCell="A12" activePane="bottomLeft" state="frozen"/>
      <selection pane="bottomLeft" sqref="A1:J1"/>
    </sheetView>
  </sheetViews>
  <sheetFormatPr baseColWidth="10" defaultColWidth="9.1796875" defaultRowHeight="14.5" x14ac:dyDescent="0.35"/>
  <cols>
    <col min="1" max="1" width="8" customWidth="1"/>
    <col min="2" max="2" width="11" customWidth="1"/>
    <col min="3" max="3" width="26" customWidth="1"/>
    <col min="4" max="4" width="36" customWidth="1"/>
    <col min="5" max="5" width="26" customWidth="1"/>
    <col min="6" max="6" width="34" customWidth="1"/>
    <col min="7" max="7" width="30" customWidth="1"/>
    <col min="8" max="8" width="14" customWidth="1"/>
    <col min="9" max="9" width="10" customWidth="1"/>
    <col min="10" max="10" width="24" customWidth="1"/>
  </cols>
  <sheetData>
    <row r="1" spans="1:10" ht="26.15" customHeight="1" x14ac:dyDescent="0.35">
      <c r="A1" s="46" t="s">
        <v>135</v>
      </c>
      <c r="B1" s="45"/>
      <c r="C1" s="45"/>
      <c r="D1" s="45"/>
      <c r="E1" s="45"/>
      <c r="F1" s="45"/>
      <c r="G1" s="45"/>
      <c r="H1" s="45"/>
      <c r="I1" s="45"/>
      <c r="J1" s="45"/>
    </row>
    <row r="3" spans="1:10" x14ac:dyDescent="0.35">
      <c r="A3" s="9" t="s">
        <v>56</v>
      </c>
      <c r="B3" s="10" t="s">
        <v>57</v>
      </c>
      <c r="D3" s="9" t="s">
        <v>58</v>
      </c>
      <c r="E3" s="10" t="s">
        <v>136</v>
      </c>
    </row>
    <row r="4" spans="1:10" x14ac:dyDescent="0.35">
      <c r="A4" s="9" t="s">
        <v>60</v>
      </c>
      <c r="B4" s="10"/>
      <c r="D4" s="9" t="s">
        <v>61</v>
      </c>
      <c r="E4" s="10"/>
    </row>
    <row r="5" spans="1:10" x14ac:dyDescent="0.35">
      <c r="A5" s="9" t="s">
        <v>62</v>
      </c>
      <c r="B5" s="10" t="s">
        <v>137</v>
      </c>
      <c r="D5" s="9" t="s">
        <v>64</v>
      </c>
      <c r="E5" s="10" t="s">
        <v>138</v>
      </c>
    </row>
    <row r="6" spans="1:10" ht="26.15" customHeight="1" x14ac:dyDescent="0.35">
      <c r="A6" s="52" t="s">
        <v>139</v>
      </c>
      <c r="B6" s="45"/>
      <c r="C6" s="45"/>
      <c r="D6" s="45"/>
      <c r="E6" s="45"/>
      <c r="F6" s="45"/>
      <c r="G6" s="45"/>
      <c r="H6" s="45"/>
      <c r="I6" s="45"/>
      <c r="J6" s="45"/>
    </row>
    <row r="7" spans="1:10" ht="32.15" customHeight="1" x14ac:dyDescent="0.35">
      <c r="A7" s="11" t="s">
        <v>67</v>
      </c>
      <c r="B7" s="11" t="s">
        <v>68</v>
      </c>
      <c r="C7" s="11" t="s">
        <v>140</v>
      </c>
      <c r="D7" s="11" t="s">
        <v>141</v>
      </c>
      <c r="E7" s="11" t="s">
        <v>142</v>
      </c>
      <c r="F7" s="11" t="s">
        <v>72</v>
      </c>
      <c r="G7" s="11" t="s">
        <v>73</v>
      </c>
      <c r="H7" s="11" t="s">
        <v>74</v>
      </c>
      <c r="I7" s="11" t="s">
        <v>75</v>
      </c>
      <c r="J7" s="11" t="s">
        <v>76</v>
      </c>
    </row>
    <row r="8" spans="1:10" ht="30" customHeight="1" x14ac:dyDescent="0.35">
      <c r="A8" s="12" t="s">
        <v>143</v>
      </c>
      <c r="B8" s="13" t="s">
        <v>78</v>
      </c>
      <c r="C8" s="13" t="s">
        <v>144</v>
      </c>
      <c r="D8" s="13" t="s">
        <v>80</v>
      </c>
      <c r="E8" s="13" t="s">
        <v>145</v>
      </c>
      <c r="F8" s="13" t="s">
        <v>146</v>
      </c>
      <c r="G8" s="13" t="s">
        <v>147</v>
      </c>
      <c r="H8" s="12" t="s">
        <v>84</v>
      </c>
      <c r="I8" s="12" t="s">
        <v>85</v>
      </c>
      <c r="J8" s="13" t="s">
        <v>148</v>
      </c>
    </row>
    <row r="9" spans="1:10" ht="30" customHeight="1" x14ac:dyDescent="0.35">
      <c r="A9" s="14" t="s">
        <v>149</v>
      </c>
      <c r="B9" s="15" t="s">
        <v>150</v>
      </c>
      <c r="C9" s="15" t="s">
        <v>151</v>
      </c>
      <c r="D9" s="15" t="s">
        <v>152</v>
      </c>
      <c r="E9" s="15" t="s">
        <v>153</v>
      </c>
      <c r="F9" s="15" t="s">
        <v>154</v>
      </c>
      <c r="G9" s="16"/>
      <c r="H9" s="16"/>
      <c r="I9" s="16"/>
      <c r="J9" s="16"/>
    </row>
    <row r="10" spans="1:10" ht="30" customHeight="1" x14ac:dyDescent="0.35">
      <c r="A10" s="17" t="s">
        <v>155</v>
      </c>
      <c r="B10" s="18" t="s">
        <v>156</v>
      </c>
      <c r="C10" s="18" t="s">
        <v>157</v>
      </c>
      <c r="D10" s="18" t="s">
        <v>158</v>
      </c>
      <c r="E10" s="18" t="s">
        <v>159</v>
      </c>
      <c r="F10" s="18" t="s">
        <v>160</v>
      </c>
      <c r="G10" s="19"/>
      <c r="H10" s="19"/>
      <c r="I10" s="19"/>
      <c r="J10" s="19"/>
    </row>
    <row r="11" spans="1:10" ht="30" customHeight="1" x14ac:dyDescent="0.35">
      <c r="A11" s="14" t="s">
        <v>161</v>
      </c>
      <c r="B11" s="15" t="s">
        <v>156</v>
      </c>
      <c r="C11" s="15" t="s">
        <v>162</v>
      </c>
      <c r="D11" s="15" t="s">
        <v>163</v>
      </c>
      <c r="E11" s="15" t="s">
        <v>164</v>
      </c>
      <c r="F11" s="15" t="s">
        <v>165</v>
      </c>
      <c r="G11" s="16"/>
      <c r="H11" s="16"/>
      <c r="I11" s="16"/>
      <c r="J11" s="16"/>
    </row>
    <row r="12" spans="1:10" ht="30" customHeight="1" x14ac:dyDescent="0.35">
      <c r="A12" s="17" t="s">
        <v>166</v>
      </c>
      <c r="B12" s="18" t="s">
        <v>130</v>
      </c>
      <c r="C12" s="18" t="s">
        <v>167</v>
      </c>
      <c r="D12" s="18" t="s">
        <v>168</v>
      </c>
      <c r="E12" s="18" t="s">
        <v>169</v>
      </c>
      <c r="F12" s="18" t="s">
        <v>170</v>
      </c>
      <c r="G12" s="19"/>
      <c r="H12" s="19"/>
      <c r="I12" s="19"/>
      <c r="J12" s="19"/>
    </row>
    <row r="13" spans="1:10" ht="30" customHeight="1" x14ac:dyDescent="0.35">
      <c r="A13" s="14" t="s">
        <v>171</v>
      </c>
      <c r="B13" s="15" t="s">
        <v>130</v>
      </c>
      <c r="C13" s="15" t="s">
        <v>172</v>
      </c>
      <c r="D13" s="15" t="s">
        <v>173</v>
      </c>
      <c r="E13" s="15" t="s">
        <v>174</v>
      </c>
      <c r="F13" s="15" t="s">
        <v>175</v>
      </c>
      <c r="G13" s="16"/>
      <c r="H13" s="16"/>
      <c r="I13" s="16"/>
      <c r="J13" s="16"/>
    </row>
    <row r="14" spans="1:10" ht="30" customHeight="1" x14ac:dyDescent="0.35">
      <c r="A14" s="17" t="s">
        <v>176</v>
      </c>
      <c r="B14" s="18" t="s">
        <v>88</v>
      </c>
      <c r="C14" s="18" t="s">
        <v>172</v>
      </c>
      <c r="D14" s="18" t="s">
        <v>177</v>
      </c>
      <c r="E14" s="18" t="s">
        <v>178</v>
      </c>
      <c r="F14" s="18" t="s">
        <v>179</v>
      </c>
      <c r="G14" s="19"/>
      <c r="H14" s="19"/>
      <c r="I14" s="19"/>
      <c r="J14" s="19"/>
    </row>
    <row r="15" spans="1:10" ht="30" customHeight="1" x14ac:dyDescent="0.35">
      <c r="A15" s="14" t="s">
        <v>180</v>
      </c>
      <c r="B15" s="15" t="s">
        <v>181</v>
      </c>
      <c r="C15" s="15" t="s">
        <v>182</v>
      </c>
      <c r="D15" s="15" t="s">
        <v>183</v>
      </c>
      <c r="E15" s="15" t="s">
        <v>184</v>
      </c>
      <c r="F15" s="15" t="s">
        <v>185</v>
      </c>
      <c r="G15" s="16"/>
      <c r="H15" s="16"/>
      <c r="I15" s="16"/>
      <c r="J15" s="16"/>
    </row>
    <row r="16" spans="1:10" ht="30" customHeight="1" x14ac:dyDescent="0.35">
      <c r="A16" s="17" t="s">
        <v>186</v>
      </c>
      <c r="B16" s="18" t="s">
        <v>181</v>
      </c>
      <c r="C16" s="18" t="s">
        <v>182</v>
      </c>
      <c r="D16" s="18" t="s">
        <v>187</v>
      </c>
      <c r="E16" s="18" t="s">
        <v>188</v>
      </c>
      <c r="F16" s="18" t="s">
        <v>189</v>
      </c>
      <c r="G16" s="19"/>
      <c r="H16" s="19"/>
      <c r="I16" s="19"/>
      <c r="J16" s="19"/>
    </row>
    <row r="17" spans="1:10" ht="30" customHeight="1" x14ac:dyDescent="0.35">
      <c r="A17" s="14" t="s">
        <v>190</v>
      </c>
      <c r="B17" s="15" t="s">
        <v>181</v>
      </c>
      <c r="C17" s="15" t="s">
        <v>182</v>
      </c>
      <c r="D17" s="15" t="s">
        <v>191</v>
      </c>
      <c r="E17" s="15" t="s">
        <v>192</v>
      </c>
      <c r="F17" s="15" t="s">
        <v>193</v>
      </c>
      <c r="G17" s="16"/>
      <c r="H17" s="16"/>
      <c r="I17" s="16"/>
      <c r="J17" s="16"/>
    </row>
    <row r="18" spans="1:10" ht="30" customHeight="1" x14ac:dyDescent="0.35">
      <c r="A18" s="17" t="s">
        <v>194</v>
      </c>
      <c r="B18" s="18" t="s">
        <v>181</v>
      </c>
      <c r="C18" s="18" t="s">
        <v>195</v>
      </c>
      <c r="D18" s="18" t="s">
        <v>196</v>
      </c>
      <c r="E18" s="18" t="s">
        <v>197</v>
      </c>
      <c r="F18" s="18" t="s">
        <v>198</v>
      </c>
      <c r="G18" s="19"/>
      <c r="H18" s="19"/>
      <c r="I18" s="19"/>
      <c r="J18" s="19"/>
    </row>
    <row r="19" spans="1:10" ht="30" customHeight="1" x14ac:dyDescent="0.35">
      <c r="A19" s="14" t="s">
        <v>199</v>
      </c>
      <c r="B19" s="15" t="s">
        <v>200</v>
      </c>
      <c r="C19" s="15" t="s">
        <v>201</v>
      </c>
      <c r="D19" s="15" t="s">
        <v>202</v>
      </c>
      <c r="E19" s="15" t="s">
        <v>203</v>
      </c>
      <c r="F19" s="15" t="s">
        <v>204</v>
      </c>
      <c r="G19" s="16"/>
      <c r="H19" s="16"/>
      <c r="I19" s="16"/>
      <c r="J19" s="16"/>
    </row>
    <row r="20" spans="1:10" ht="30" customHeight="1" x14ac:dyDescent="0.35">
      <c r="A20" s="17" t="s">
        <v>205</v>
      </c>
      <c r="B20" s="18" t="s">
        <v>200</v>
      </c>
      <c r="C20" s="18" t="s">
        <v>206</v>
      </c>
      <c r="D20" s="18" t="s">
        <v>207</v>
      </c>
      <c r="E20" s="18" t="s">
        <v>208</v>
      </c>
      <c r="F20" s="18" t="s">
        <v>209</v>
      </c>
      <c r="G20" s="19"/>
      <c r="H20" s="19"/>
      <c r="I20" s="19"/>
      <c r="J20" s="19"/>
    </row>
    <row r="21" spans="1:10" ht="30" customHeight="1" x14ac:dyDescent="0.35">
      <c r="A21" s="15"/>
      <c r="B21" s="15"/>
      <c r="C21" s="15"/>
      <c r="D21" s="15"/>
      <c r="E21" s="15"/>
      <c r="F21" s="15"/>
      <c r="G21" s="16"/>
      <c r="H21" s="16"/>
      <c r="I21" s="16"/>
      <c r="J21" s="16"/>
    </row>
    <row r="22" spans="1:10" ht="30" customHeight="1" x14ac:dyDescent="0.35">
      <c r="A22" s="18"/>
      <c r="B22" s="18"/>
      <c r="C22" s="18"/>
      <c r="D22" s="18"/>
      <c r="E22" s="18"/>
      <c r="F22" s="18"/>
      <c r="G22" s="19"/>
      <c r="H22" s="19"/>
      <c r="I22" s="19"/>
      <c r="J22" s="19"/>
    </row>
    <row r="23" spans="1:10" ht="30" customHeight="1" x14ac:dyDescent="0.35">
      <c r="A23" s="15"/>
      <c r="B23" s="15"/>
      <c r="C23" s="15"/>
      <c r="D23" s="15"/>
      <c r="E23" s="15"/>
      <c r="F23" s="15"/>
      <c r="G23" s="16"/>
      <c r="H23" s="16"/>
      <c r="I23" s="16"/>
      <c r="J23" s="16"/>
    </row>
    <row r="24" spans="1:10" ht="30" customHeight="1" x14ac:dyDescent="0.35">
      <c r="A24" s="18"/>
      <c r="B24" s="18"/>
      <c r="C24" s="18"/>
      <c r="D24" s="18"/>
      <c r="E24" s="18"/>
      <c r="F24" s="18"/>
      <c r="G24" s="19"/>
      <c r="H24" s="19"/>
      <c r="I24" s="19"/>
      <c r="J24" s="19"/>
    </row>
    <row r="25" spans="1:10" ht="30" customHeight="1" x14ac:dyDescent="0.35">
      <c r="A25" s="15"/>
      <c r="B25" s="15"/>
      <c r="C25" s="15"/>
      <c r="D25" s="15"/>
      <c r="E25" s="15"/>
      <c r="F25" s="15"/>
      <c r="G25" s="16"/>
      <c r="H25" s="16"/>
      <c r="I25" s="16"/>
      <c r="J25" s="16"/>
    </row>
    <row r="26" spans="1:10" ht="30" customHeight="1" x14ac:dyDescent="0.35">
      <c r="A26" s="18"/>
      <c r="B26" s="18"/>
      <c r="C26" s="18"/>
      <c r="D26" s="18"/>
      <c r="E26" s="18"/>
      <c r="F26" s="18"/>
      <c r="G26" s="19"/>
      <c r="H26" s="19"/>
      <c r="I26" s="19"/>
      <c r="J26" s="19"/>
    </row>
    <row r="27" spans="1:10" ht="30" customHeight="1" x14ac:dyDescent="0.35">
      <c r="A27" s="15"/>
      <c r="B27" s="15"/>
      <c r="C27" s="15"/>
      <c r="D27" s="15"/>
      <c r="E27" s="15"/>
      <c r="F27" s="15"/>
      <c r="G27" s="16"/>
      <c r="H27" s="16"/>
      <c r="I27" s="16"/>
      <c r="J27" s="16"/>
    </row>
    <row r="28" spans="1:10" ht="30" customHeight="1" x14ac:dyDescent="0.35">
      <c r="A28" s="18"/>
      <c r="B28" s="18"/>
      <c r="C28" s="18"/>
      <c r="D28" s="18"/>
      <c r="E28" s="18"/>
      <c r="F28" s="18"/>
      <c r="G28" s="19"/>
      <c r="H28" s="19"/>
      <c r="I28" s="19"/>
      <c r="J28" s="19"/>
    </row>
    <row r="29" spans="1:10" ht="30" customHeight="1" x14ac:dyDescent="0.35">
      <c r="A29" s="15"/>
      <c r="B29" s="15"/>
      <c r="C29" s="15"/>
      <c r="D29" s="15"/>
      <c r="E29" s="15"/>
      <c r="F29" s="15"/>
      <c r="G29" s="16"/>
      <c r="H29" s="16"/>
      <c r="I29" s="16"/>
      <c r="J29" s="16"/>
    </row>
    <row r="30" spans="1:10" ht="30" customHeight="1" x14ac:dyDescent="0.35">
      <c r="A30" s="18"/>
      <c r="B30" s="18"/>
      <c r="C30" s="18"/>
      <c r="D30" s="18"/>
      <c r="E30" s="18"/>
      <c r="F30" s="18"/>
      <c r="G30" s="19"/>
      <c r="H30" s="19"/>
      <c r="I30" s="19"/>
      <c r="J30" s="19"/>
    </row>
    <row r="31" spans="1:10" ht="30" customHeight="1" x14ac:dyDescent="0.35">
      <c r="A31" s="15"/>
      <c r="B31" s="15"/>
      <c r="C31" s="15"/>
      <c r="D31" s="15"/>
      <c r="E31" s="15"/>
      <c r="F31" s="15"/>
      <c r="G31" s="16"/>
      <c r="H31" s="16"/>
      <c r="I31" s="16"/>
      <c r="J31" s="16"/>
    </row>
    <row r="32" spans="1:10" ht="30" customHeight="1" x14ac:dyDescent="0.35">
      <c r="A32" s="18"/>
      <c r="B32" s="18"/>
      <c r="C32" s="18"/>
      <c r="D32" s="18"/>
      <c r="E32" s="18"/>
      <c r="F32" s="18"/>
      <c r="G32" s="19"/>
      <c r="H32" s="19"/>
      <c r="I32" s="19"/>
      <c r="J32" s="19"/>
    </row>
    <row r="33" spans="1:10" ht="30" customHeight="1" x14ac:dyDescent="0.35">
      <c r="A33" s="15"/>
      <c r="B33" s="15"/>
      <c r="C33" s="15"/>
      <c r="D33" s="15"/>
      <c r="E33" s="15"/>
      <c r="F33" s="15"/>
      <c r="G33" s="16"/>
      <c r="H33" s="16"/>
      <c r="I33" s="16"/>
      <c r="J33" s="16"/>
    </row>
    <row r="34" spans="1:10" ht="30" customHeight="1" x14ac:dyDescent="0.35">
      <c r="A34" s="18"/>
      <c r="B34" s="18"/>
      <c r="C34" s="18"/>
      <c r="D34" s="18"/>
      <c r="E34" s="18"/>
      <c r="F34" s="18"/>
      <c r="G34" s="19"/>
      <c r="H34" s="19"/>
      <c r="I34" s="19"/>
      <c r="J34" s="19"/>
    </row>
    <row r="35" spans="1:10" ht="30" customHeight="1" x14ac:dyDescent="0.35">
      <c r="A35" s="15"/>
      <c r="B35" s="15"/>
      <c r="C35" s="15"/>
      <c r="D35" s="15"/>
      <c r="E35" s="15"/>
      <c r="F35" s="15"/>
      <c r="G35" s="16"/>
      <c r="H35" s="16"/>
      <c r="I35" s="16"/>
      <c r="J35" s="16"/>
    </row>
    <row r="36" spans="1:10" ht="30" customHeight="1" x14ac:dyDescent="0.35">
      <c r="A36" s="18"/>
      <c r="B36" s="18"/>
      <c r="C36" s="18"/>
      <c r="D36" s="18"/>
      <c r="E36" s="18"/>
      <c r="F36" s="18"/>
      <c r="G36" s="19"/>
      <c r="H36" s="19"/>
      <c r="I36" s="19"/>
      <c r="J36" s="19"/>
    </row>
    <row r="37" spans="1:10" ht="30" customHeight="1" x14ac:dyDescent="0.35">
      <c r="A37" s="15"/>
      <c r="B37" s="15"/>
      <c r="C37" s="15"/>
      <c r="D37" s="15"/>
      <c r="E37" s="15"/>
      <c r="F37" s="15"/>
      <c r="G37" s="16"/>
      <c r="H37" s="16"/>
      <c r="I37" s="16"/>
      <c r="J37" s="16"/>
    </row>
    <row r="38" spans="1:10" ht="30" customHeight="1" x14ac:dyDescent="0.35">
      <c r="A38" s="18"/>
      <c r="B38" s="18"/>
      <c r="C38" s="18"/>
      <c r="D38" s="18"/>
      <c r="E38" s="18"/>
      <c r="F38" s="18"/>
      <c r="G38" s="19"/>
      <c r="H38" s="19"/>
      <c r="I38" s="19"/>
      <c r="J38" s="19"/>
    </row>
    <row r="39" spans="1:10" ht="30" customHeight="1" x14ac:dyDescent="0.35">
      <c r="A39" s="15"/>
      <c r="B39" s="15"/>
      <c r="C39" s="15"/>
      <c r="D39" s="15"/>
      <c r="E39" s="15"/>
      <c r="F39" s="15"/>
      <c r="G39" s="16"/>
      <c r="H39" s="16"/>
      <c r="I39" s="16"/>
      <c r="J39" s="16"/>
    </row>
    <row r="40" spans="1:10" ht="30" customHeight="1" x14ac:dyDescent="0.35">
      <c r="A40" s="18"/>
      <c r="B40" s="18"/>
      <c r="C40" s="18"/>
      <c r="D40" s="18"/>
      <c r="E40" s="18"/>
      <c r="F40" s="18"/>
      <c r="G40" s="19"/>
      <c r="H40" s="19"/>
      <c r="I40" s="19"/>
      <c r="J40" s="19"/>
    </row>
    <row r="41" spans="1:10" ht="30" customHeight="1" x14ac:dyDescent="0.35">
      <c r="A41" s="15"/>
      <c r="B41" s="15"/>
      <c r="C41" s="15"/>
      <c r="D41" s="15"/>
      <c r="E41" s="15"/>
      <c r="F41" s="15"/>
      <c r="G41" s="16"/>
      <c r="H41" s="16"/>
      <c r="I41" s="16"/>
      <c r="J41" s="16"/>
    </row>
    <row r="42" spans="1:10" ht="30" customHeight="1" x14ac:dyDescent="0.35">
      <c r="A42" s="18"/>
      <c r="B42" s="18"/>
      <c r="C42" s="18"/>
      <c r="D42" s="18"/>
      <c r="E42" s="18"/>
      <c r="F42" s="18"/>
      <c r="G42" s="19"/>
      <c r="H42" s="19"/>
      <c r="I42" s="19"/>
      <c r="J42" s="19"/>
    </row>
    <row r="43" spans="1:10" ht="30" customHeight="1" x14ac:dyDescent="0.35">
      <c r="A43" s="15"/>
      <c r="B43" s="15"/>
      <c r="C43" s="15"/>
      <c r="D43" s="15"/>
      <c r="E43" s="15"/>
      <c r="F43" s="15"/>
      <c r="G43" s="16"/>
      <c r="H43" s="16"/>
      <c r="I43" s="16"/>
      <c r="J43" s="16"/>
    </row>
    <row r="44" spans="1:10" ht="30" customHeight="1" x14ac:dyDescent="0.35">
      <c r="A44" s="18"/>
      <c r="B44" s="18"/>
      <c r="C44" s="18"/>
      <c r="D44" s="18"/>
      <c r="E44" s="18"/>
      <c r="F44" s="18"/>
      <c r="G44" s="19"/>
      <c r="H44" s="19"/>
      <c r="I44" s="19"/>
      <c r="J44" s="19"/>
    </row>
    <row r="45" spans="1:10" ht="30" customHeight="1" x14ac:dyDescent="0.35">
      <c r="A45" s="15"/>
      <c r="B45" s="15"/>
      <c r="C45" s="15"/>
      <c r="D45" s="15"/>
      <c r="E45" s="15"/>
      <c r="F45" s="15"/>
      <c r="G45" s="16"/>
      <c r="H45" s="16"/>
      <c r="I45" s="16"/>
      <c r="J45" s="16"/>
    </row>
    <row r="46" spans="1:10" ht="30" customHeight="1" x14ac:dyDescent="0.35">
      <c r="A46" s="18"/>
      <c r="B46" s="18"/>
      <c r="C46" s="18"/>
      <c r="D46" s="18"/>
      <c r="E46" s="18"/>
      <c r="F46" s="18"/>
      <c r="G46" s="19"/>
      <c r="H46" s="19"/>
      <c r="I46" s="19"/>
      <c r="J46" s="19"/>
    </row>
    <row r="47" spans="1:10" ht="30" customHeight="1" x14ac:dyDescent="0.35">
      <c r="A47" s="15"/>
      <c r="B47" s="15"/>
      <c r="C47" s="15"/>
      <c r="D47" s="15"/>
      <c r="E47" s="15"/>
      <c r="F47" s="15"/>
      <c r="G47" s="16"/>
      <c r="H47" s="16"/>
      <c r="I47" s="16"/>
      <c r="J47" s="16"/>
    </row>
    <row r="48" spans="1:10" ht="30" customHeight="1" x14ac:dyDescent="0.35">
      <c r="A48" s="18"/>
      <c r="B48" s="18"/>
      <c r="C48" s="18"/>
      <c r="D48" s="18"/>
      <c r="E48" s="18"/>
      <c r="F48" s="18"/>
      <c r="G48" s="19"/>
      <c r="H48" s="19"/>
      <c r="I48" s="19"/>
      <c r="J48" s="19"/>
    </row>
    <row r="49" spans="1:10" ht="30" customHeight="1" x14ac:dyDescent="0.35">
      <c r="A49" s="15"/>
      <c r="B49" s="15"/>
      <c r="C49" s="15"/>
      <c r="D49" s="15"/>
      <c r="E49" s="15"/>
      <c r="F49" s="15"/>
      <c r="G49" s="16"/>
      <c r="H49" s="16"/>
      <c r="I49" s="16"/>
      <c r="J49" s="16"/>
    </row>
    <row r="50" spans="1:10" ht="30" customHeight="1" x14ac:dyDescent="0.35">
      <c r="A50" s="18"/>
      <c r="B50" s="18"/>
      <c r="C50" s="18"/>
      <c r="D50" s="18"/>
      <c r="E50" s="18"/>
      <c r="F50" s="18"/>
      <c r="G50" s="19"/>
      <c r="H50" s="19"/>
      <c r="I50" s="19"/>
      <c r="J50" s="19"/>
    </row>
    <row r="51" spans="1:10" ht="30" customHeight="1" x14ac:dyDescent="0.35">
      <c r="A51" s="15"/>
      <c r="B51" s="15"/>
      <c r="C51" s="15"/>
      <c r="D51" s="15"/>
      <c r="E51" s="15"/>
      <c r="F51" s="15"/>
      <c r="G51" s="16"/>
      <c r="H51" s="16"/>
      <c r="I51" s="16"/>
      <c r="J51" s="16"/>
    </row>
    <row r="52" spans="1:10" ht="30" customHeight="1" x14ac:dyDescent="0.35">
      <c r="A52" s="18"/>
      <c r="B52" s="18"/>
      <c r="C52" s="18"/>
      <c r="D52" s="18"/>
      <c r="E52" s="18"/>
      <c r="F52" s="18"/>
      <c r="G52" s="19"/>
      <c r="H52" s="19"/>
      <c r="I52" s="19"/>
      <c r="J52" s="19"/>
    </row>
    <row r="53" spans="1:10" ht="30" customHeight="1" x14ac:dyDescent="0.35">
      <c r="A53" s="15"/>
      <c r="B53" s="15"/>
      <c r="C53" s="15"/>
      <c r="D53" s="15"/>
      <c r="E53" s="15"/>
      <c r="F53" s="15"/>
      <c r="G53" s="16"/>
      <c r="H53" s="16"/>
      <c r="I53" s="16"/>
      <c r="J53" s="16"/>
    </row>
    <row r="54" spans="1:10" ht="30" customHeight="1" x14ac:dyDescent="0.35">
      <c r="A54" s="18"/>
      <c r="B54" s="18"/>
      <c r="C54" s="18"/>
      <c r="D54" s="18"/>
      <c r="E54" s="18"/>
      <c r="F54" s="18"/>
      <c r="G54" s="19"/>
      <c r="H54" s="19"/>
      <c r="I54" s="19"/>
      <c r="J54" s="19"/>
    </row>
    <row r="55" spans="1:10" ht="30" customHeight="1" x14ac:dyDescent="0.35">
      <c r="A55" s="15"/>
      <c r="B55" s="15"/>
      <c r="C55" s="15"/>
      <c r="D55" s="15"/>
      <c r="E55" s="15"/>
      <c r="F55" s="15"/>
      <c r="G55" s="16"/>
      <c r="H55" s="16"/>
      <c r="I55" s="16"/>
      <c r="J55" s="16"/>
    </row>
    <row r="56" spans="1:10" ht="30" customHeight="1" x14ac:dyDescent="0.35">
      <c r="A56" s="18"/>
      <c r="B56" s="18"/>
      <c r="C56" s="18"/>
      <c r="D56" s="18"/>
      <c r="E56" s="18"/>
      <c r="F56" s="18"/>
      <c r="G56" s="19"/>
      <c r="H56" s="19"/>
      <c r="I56" s="19"/>
      <c r="J56" s="19"/>
    </row>
    <row r="57" spans="1:10" ht="30" customHeight="1" x14ac:dyDescent="0.35">
      <c r="A57" s="15"/>
      <c r="B57" s="15"/>
      <c r="C57" s="15"/>
      <c r="D57" s="15"/>
      <c r="E57" s="15"/>
      <c r="F57" s="15"/>
      <c r="G57" s="16"/>
      <c r="H57" s="16"/>
      <c r="I57" s="16"/>
      <c r="J57" s="16"/>
    </row>
    <row r="58" spans="1:10" ht="30" customHeight="1" x14ac:dyDescent="0.35">
      <c r="A58" s="18"/>
      <c r="B58" s="18"/>
      <c r="C58" s="18"/>
      <c r="D58" s="18"/>
      <c r="E58" s="18"/>
      <c r="F58" s="18"/>
      <c r="G58" s="19"/>
      <c r="H58" s="19"/>
      <c r="I58" s="19"/>
      <c r="J58" s="19"/>
    </row>
    <row r="59" spans="1:10" ht="30" customHeight="1" x14ac:dyDescent="0.35">
      <c r="A59" s="15"/>
      <c r="B59" s="15"/>
      <c r="C59" s="15"/>
      <c r="D59" s="15"/>
      <c r="E59" s="15"/>
      <c r="F59" s="15"/>
      <c r="G59" s="16"/>
      <c r="H59" s="16"/>
      <c r="I59" s="16"/>
      <c r="J59" s="16"/>
    </row>
    <row r="60" spans="1:10" ht="30" customHeight="1" x14ac:dyDescent="0.35">
      <c r="A60" s="18"/>
      <c r="B60" s="18"/>
      <c r="C60" s="18"/>
      <c r="D60" s="18"/>
      <c r="E60" s="18"/>
      <c r="F60" s="18"/>
      <c r="G60" s="19"/>
      <c r="H60" s="19"/>
      <c r="I60" s="19"/>
      <c r="J60" s="19"/>
    </row>
    <row r="61" spans="1:10" ht="30" customHeight="1" x14ac:dyDescent="0.35">
      <c r="A61" s="15"/>
      <c r="B61" s="15"/>
      <c r="C61" s="15"/>
      <c r="D61" s="15"/>
      <c r="E61" s="15"/>
      <c r="F61" s="15"/>
      <c r="G61" s="16"/>
      <c r="H61" s="16"/>
      <c r="I61" s="16"/>
      <c r="J61" s="16"/>
    </row>
    <row r="62" spans="1:10" ht="30" customHeight="1" x14ac:dyDescent="0.35">
      <c r="A62" s="18"/>
      <c r="B62" s="18"/>
      <c r="C62" s="18"/>
      <c r="D62" s="18"/>
      <c r="E62" s="18"/>
      <c r="F62" s="18"/>
      <c r="G62" s="19"/>
      <c r="H62" s="19"/>
      <c r="I62" s="19"/>
      <c r="J62" s="19"/>
    </row>
    <row r="63" spans="1:10" ht="30" customHeight="1" x14ac:dyDescent="0.35">
      <c r="A63" s="15"/>
      <c r="B63" s="15"/>
      <c r="C63" s="15"/>
      <c r="D63" s="15"/>
      <c r="E63" s="15"/>
      <c r="F63" s="15"/>
      <c r="G63" s="16"/>
      <c r="H63" s="16"/>
      <c r="I63" s="16"/>
      <c r="J63" s="16"/>
    </row>
    <row r="64" spans="1:10" ht="30" customHeight="1" x14ac:dyDescent="0.35">
      <c r="A64" s="18"/>
      <c r="B64" s="18"/>
      <c r="C64" s="18"/>
      <c r="D64" s="18"/>
      <c r="E64" s="18"/>
      <c r="F64" s="18"/>
      <c r="G64" s="19"/>
      <c r="H64" s="19"/>
      <c r="I64" s="19"/>
      <c r="J64" s="19"/>
    </row>
    <row r="65" spans="1:10" ht="30" customHeight="1" x14ac:dyDescent="0.35">
      <c r="A65" s="15"/>
      <c r="B65" s="15"/>
      <c r="C65" s="15"/>
      <c r="D65" s="15"/>
      <c r="E65" s="15"/>
      <c r="F65" s="15"/>
      <c r="G65" s="16"/>
      <c r="H65" s="16"/>
      <c r="I65" s="16"/>
      <c r="J65" s="16"/>
    </row>
    <row r="66" spans="1:10" ht="30" customHeight="1" x14ac:dyDescent="0.35">
      <c r="A66" s="18"/>
      <c r="B66" s="18"/>
      <c r="C66" s="18"/>
      <c r="D66" s="18"/>
      <c r="E66" s="18"/>
      <c r="F66" s="18"/>
      <c r="G66" s="19"/>
      <c r="H66" s="19"/>
      <c r="I66" s="19"/>
      <c r="J66" s="19"/>
    </row>
    <row r="67" spans="1:10" ht="30" customHeight="1" x14ac:dyDescent="0.35">
      <c r="A67" s="15"/>
      <c r="B67" s="15"/>
      <c r="C67" s="15"/>
      <c r="D67" s="15"/>
      <c r="E67" s="15"/>
      <c r="F67" s="15"/>
      <c r="G67" s="16"/>
      <c r="H67" s="16"/>
      <c r="I67" s="16"/>
      <c r="J67" s="16"/>
    </row>
  </sheetData>
  <mergeCells count="2">
    <mergeCell ref="A6:J6"/>
    <mergeCell ref="A1:J1"/>
  </mergeCells>
  <conditionalFormatting sqref="H8:H67">
    <cfRule type="cellIs" dxfId="15" priority="1" operator="equal">
      <formula>"APROBADA"</formula>
    </cfRule>
    <cfRule type="cellIs" dxfId="14" priority="2" operator="equal">
      <formula>"FALLIDA"</formula>
    </cfRule>
    <cfRule type="cellIs" dxfId="13" priority="3" operator="equal">
      <formula>"OBSERVACION"</formula>
    </cfRule>
    <cfRule type="cellIs" dxfId="12" priority="4" operator="equal">
      <formula>"BLOQUEADA"</formula>
    </cfRule>
  </conditionalFormatting>
  <dataValidations count="1">
    <dataValidation type="list" allowBlank="1" errorTitle="Estado no valido" error="Elija: APROBADA, FALLIDA, BLOQUEADA u OBSERVACION." sqref="H8:H67" xr:uid="{00000000-0002-0000-0200-000000000000}">
      <formula1>"APROBADA,FALLIDA,BLOQUEADA,OBSERVACION"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7"/>
  <sheetViews>
    <sheetView workbookViewId="0">
      <pane ySplit="7" topLeftCell="A16" activePane="bottomLeft" state="frozen"/>
      <selection pane="bottomLeft" sqref="A1:K1"/>
    </sheetView>
  </sheetViews>
  <sheetFormatPr baseColWidth="10" defaultColWidth="9.1796875" defaultRowHeight="14.5" x14ac:dyDescent="0.35"/>
  <cols>
    <col min="1" max="1" width="8" customWidth="1"/>
    <col min="2" max="2" width="24" customWidth="1"/>
    <col min="3" max="3" width="11" customWidth="1"/>
    <col min="4" max="4" width="26" customWidth="1"/>
    <col min="5" max="5" width="10" customWidth="1"/>
    <col min="6" max="7" width="12" customWidth="1"/>
    <col min="8" max="8" width="13" customWidth="1"/>
    <col min="9" max="9" width="11" customWidth="1"/>
    <col min="10" max="10" width="14" customWidth="1"/>
    <col min="11" max="11" width="36" customWidth="1"/>
  </cols>
  <sheetData>
    <row r="1" spans="1:11" ht="26.15" customHeight="1" x14ac:dyDescent="0.35">
      <c r="A1" s="46" t="s">
        <v>210</v>
      </c>
      <c r="B1" s="45"/>
      <c r="C1" s="45"/>
      <c r="D1" s="45"/>
      <c r="E1" s="45"/>
      <c r="F1" s="45"/>
      <c r="G1" s="45"/>
      <c r="H1" s="45"/>
      <c r="I1" s="45"/>
      <c r="J1" s="45"/>
      <c r="K1" s="45"/>
    </row>
    <row r="3" spans="1:11" x14ac:dyDescent="0.35">
      <c r="A3" s="9" t="s">
        <v>211</v>
      </c>
      <c r="B3" s="10" t="s">
        <v>212</v>
      </c>
      <c r="D3" s="9" t="s">
        <v>62</v>
      </c>
      <c r="E3" s="10" t="s">
        <v>213</v>
      </c>
    </row>
    <row r="4" spans="1:11" x14ac:dyDescent="0.35">
      <c r="A4" s="9" t="s">
        <v>58</v>
      </c>
      <c r="B4" s="10"/>
      <c r="D4" s="9" t="s">
        <v>61</v>
      </c>
      <c r="E4" s="10"/>
    </row>
    <row r="5" spans="1:11" x14ac:dyDescent="0.35">
      <c r="A5" s="9" t="s">
        <v>214</v>
      </c>
      <c r="B5" s="10" t="s">
        <v>215</v>
      </c>
      <c r="D5" s="9" t="s">
        <v>60</v>
      </c>
      <c r="E5" s="10"/>
    </row>
    <row r="6" spans="1:11" ht="26.15" customHeight="1" x14ac:dyDescent="0.35">
      <c r="A6" s="52" t="s">
        <v>216</v>
      </c>
      <c r="B6" s="45"/>
      <c r="C6" s="45"/>
      <c r="D6" s="45"/>
      <c r="E6" s="45"/>
      <c r="F6" s="45"/>
      <c r="G6" s="45"/>
      <c r="H6" s="45"/>
      <c r="I6" s="45"/>
      <c r="J6" s="45"/>
      <c r="K6" s="45"/>
    </row>
    <row r="7" spans="1:11" ht="32.15" customHeight="1" x14ac:dyDescent="0.35">
      <c r="A7" s="11" t="s">
        <v>67</v>
      </c>
      <c r="B7" s="11" t="s">
        <v>141</v>
      </c>
      <c r="C7" s="11" t="s">
        <v>217</v>
      </c>
      <c r="D7" s="11" t="s">
        <v>218</v>
      </c>
      <c r="E7" s="11" t="s">
        <v>219</v>
      </c>
      <c r="F7" s="11" t="s">
        <v>220</v>
      </c>
      <c r="G7" s="11" t="s">
        <v>221</v>
      </c>
      <c r="H7" s="11" t="s">
        <v>222</v>
      </c>
      <c r="I7" s="11" t="s">
        <v>223</v>
      </c>
      <c r="J7" s="11" t="s">
        <v>74</v>
      </c>
      <c r="K7" s="11" t="s">
        <v>224</v>
      </c>
    </row>
    <row r="8" spans="1:11" ht="30" customHeight="1" x14ac:dyDescent="0.35">
      <c r="A8" s="12" t="s">
        <v>225</v>
      </c>
      <c r="B8" s="13" t="s">
        <v>226</v>
      </c>
      <c r="C8" s="12">
        <v>100</v>
      </c>
      <c r="D8" s="13" t="s">
        <v>227</v>
      </c>
      <c r="E8" s="12" t="s">
        <v>228</v>
      </c>
      <c r="F8" s="12">
        <v>1000</v>
      </c>
      <c r="G8" s="12">
        <v>742</v>
      </c>
      <c r="H8" s="20">
        <f t="shared" ref="H8:H39" si="0">IF(OR(F8="",G8=""),"",IFERROR((G8-F8)/F8,""))</f>
        <v>-0.25800000000000001</v>
      </c>
      <c r="I8" s="12" t="str">
        <f t="shared" ref="I8:I39" si="1">IF(OR(F8="",G8=""),"",IF(E8="&lt;=",IF(G8&lt;=F8,"SI","NO"),IF(G8&gt;=F8,"SI","NO")))</f>
        <v>SI</v>
      </c>
      <c r="J8" s="12" t="s">
        <v>84</v>
      </c>
      <c r="K8" s="13" t="s">
        <v>229</v>
      </c>
    </row>
    <row r="9" spans="1:11" ht="30" customHeight="1" x14ac:dyDescent="0.35">
      <c r="A9" s="14" t="s">
        <v>230</v>
      </c>
      <c r="B9" s="15" t="s">
        <v>231</v>
      </c>
      <c r="C9" s="14">
        <v>100</v>
      </c>
      <c r="D9" s="15" t="s">
        <v>232</v>
      </c>
      <c r="E9" s="14" t="s">
        <v>233</v>
      </c>
      <c r="F9" s="14">
        <v>60</v>
      </c>
      <c r="G9" s="16"/>
      <c r="H9" s="21" t="str">
        <f t="shared" si="0"/>
        <v/>
      </c>
      <c r="I9" s="14" t="str">
        <f t="shared" si="1"/>
        <v/>
      </c>
      <c r="J9" s="15"/>
      <c r="K9" s="15"/>
    </row>
    <row r="10" spans="1:11" ht="30" customHeight="1" x14ac:dyDescent="0.35">
      <c r="A10" s="17" t="s">
        <v>234</v>
      </c>
      <c r="B10" s="18" t="s">
        <v>231</v>
      </c>
      <c r="C10" s="17">
        <v>100</v>
      </c>
      <c r="D10" s="18" t="s">
        <v>235</v>
      </c>
      <c r="E10" s="17" t="s">
        <v>228</v>
      </c>
      <c r="F10" s="17">
        <v>400</v>
      </c>
      <c r="G10" s="19"/>
      <c r="H10" s="22" t="str">
        <f t="shared" si="0"/>
        <v/>
      </c>
      <c r="I10" s="17" t="str">
        <f t="shared" si="1"/>
        <v/>
      </c>
      <c r="J10" s="18"/>
      <c r="K10" s="18"/>
    </row>
    <row r="11" spans="1:11" ht="30" customHeight="1" x14ac:dyDescent="0.35">
      <c r="A11" s="14" t="s">
        <v>236</v>
      </c>
      <c r="B11" s="15" t="s">
        <v>231</v>
      </c>
      <c r="C11" s="14">
        <v>100</v>
      </c>
      <c r="D11" s="15" t="s">
        <v>237</v>
      </c>
      <c r="E11" s="14" t="s">
        <v>228</v>
      </c>
      <c r="F11" s="14">
        <v>700</v>
      </c>
      <c r="G11" s="16"/>
      <c r="H11" s="21" t="str">
        <f t="shared" si="0"/>
        <v/>
      </c>
      <c r="I11" s="14" t="str">
        <f t="shared" si="1"/>
        <v/>
      </c>
      <c r="J11" s="15"/>
      <c r="K11" s="15"/>
    </row>
    <row r="12" spans="1:11" ht="30" customHeight="1" x14ac:dyDescent="0.35">
      <c r="A12" s="17" t="s">
        <v>238</v>
      </c>
      <c r="B12" s="18" t="s">
        <v>231</v>
      </c>
      <c r="C12" s="17">
        <v>100</v>
      </c>
      <c r="D12" s="18" t="s">
        <v>227</v>
      </c>
      <c r="E12" s="17" t="s">
        <v>228</v>
      </c>
      <c r="F12" s="17">
        <v>1000</v>
      </c>
      <c r="G12" s="19"/>
      <c r="H12" s="22" t="str">
        <f t="shared" si="0"/>
        <v/>
      </c>
      <c r="I12" s="17" t="str">
        <f t="shared" si="1"/>
        <v/>
      </c>
      <c r="J12" s="18"/>
      <c r="K12" s="18"/>
    </row>
    <row r="13" spans="1:11" ht="30" customHeight="1" x14ac:dyDescent="0.35">
      <c r="A13" s="14" t="s">
        <v>239</v>
      </c>
      <c r="B13" s="15" t="s">
        <v>231</v>
      </c>
      <c r="C13" s="14">
        <v>100</v>
      </c>
      <c r="D13" s="15" t="s">
        <v>240</v>
      </c>
      <c r="E13" s="14" t="s">
        <v>228</v>
      </c>
      <c r="F13" s="14">
        <v>2500</v>
      </c>
      <c r="G13" s="16"/>
      <c r="H13" s="21" t="str">
        <f t="shared" si="0"/>
        <v/>
      </c>
      <c r="I13" s="14" t="str">
        <f t="shared" si="1"/>
        <v/>
      </c>
      <c r="J13" s="15"/>
      <c r="K13" s="15"/>
    </row>
    <row r="14" spans="1:11" ht="30" customHeight="1" x14ac:dyDescent="0.35">
      <c r="A14" s="17" t="s">
        <v>241</v>
      </c>
      <c r="B14" s="18" t="s">
        <v>231</v>
      </c>
      <c r="C14" s="17">
        <v>100</v>
      </c>
      <c r="D14" s="18" t="s">
        <v>242</v>
      </c>
      <c r="E14" s="17" t="s">
        <v>228</v>
      </c>
      <c r="F14" s="17">
        <v>1</v>
      </c>
      <c r="G14" s="19"/>
      <c r="H14" s="22" t="str">
        <f t="shared" si="0"/>
        <v/>
      </c>
      <c r="I14" s="17" t="str">
        <f t="shared" si="1"/>
        <v/>
      </c>
      <c r="J14" s="18"/>
      <c r="K14" s="18"/>
    </row>
    <row r="15" spans="1:11" ht="30" customHeight="1" x14ac:dyDescent="0.35">
      <c r="A15" s="14" t="s">
        <v>243</v>
      </c>
      <c r="B15" s="15" t="s">
        <v>244</v>
      </c>
      <c r="C15" s="14">
        <v>100</v>
      </c>
      <c r="D15" s="15" t="s">
        <v>227</v>
      </c>
      <c r="E15" s="14" t="s">
        <v>228</v>
      </c>
      <c r="F15" s="14">
        <v>800</v>
      </c>
      <c r="G15" s="16"/>
      <c r="H15" s="21" t="str">
        <f t="shared" si="0"/>
        <v/>
      </c>
      <c r="I15" s="14" t="str">
        <f t="shared" si="1"/>
        <v/>
      </c>
      <c r="J15" s="15"/>
      <c r="K15" s="15"/>
    </row>
    <row r="16" spans="1:11" ht="30" customHeight="1" x14ac:dyDescent="0.35">
      <c r="A16" s="17" t="s">
        <v>245</v>
      </c>
      <c r="B16" s="18" t="s">
        <v>246</v>
      </c>
      <c r="C16" s="17">
        <v>100</v>
      </c>
      <c r="D16" s="18" t="s">
        <v>227</v>
      </c>
      <c r="E16" s="17" t="s">
        <v>228</v>
      </c>
      <c r="F16" s="17">
        <v>1200</v>
      </c>
      <c r="G16" s="19"/>
      <c r="H16" s="22" t="str">
        <f t="shared" si="0"/>
        <v/>
      </c>
      <c r="I16" s="17" t="str">
        <f t="shared" si="1"/>
        <v/>
      </c>
      <c r="J16" s="18"/>
      <c r="K16" s="18"/>
    </row>
    <row r="17" spans="1:11" ht="30" customHeight="1" x14ac:dyDescent="0.35">
      <c r="A17" s="14" t="s">
        <v>247</v>
      </c>
      <c r="B17" s="15" t="s">
        <v>248</v>
      </c>
      <c r="C17" s="14">
        <v>20</v>
      </c>
      <c r="D17" s="15" t="s">
        <v>227</v>
      </c>
      <c r="E17" s="14" t="s">
        <v>228</v>
      </c>
      <c r="F17" s="14">
        <v>3000</v>
      </c>
      <c r="G17" s="16"/>
      <c r="H17" s="21" t="str">
        <f t="shared" si="0"/>
        <v/>
      </c>
      <c r="I17" s="14" t="str">
        <f t="shared" si="1"/>
        <v/>
      </c>
      <c r="J17" s="15"/>
      <c r="K17" s="15"/>
    </row>
    <row r="18" spans="1:11" ht="30" customHeight="1" x14ac:dyDescent="0.35">
      <c r="A18" s="17" t="s">
        <v>249</v>
      </c>
      <c r="B18" s="18" t="s">
        <v>250</v>
      </c>
      <c r="C18" s="17">
        <v>100</v>
      </c>
      <c r="D18" s="18" t="s">
        <v>251</v>
      </c>
      <c r="E18" s="17" t="s">
        <v>228</v>
      </c>
      <c r="F18" s="17">
        <v>80</v>
      </c>
      <c r="G18" s="19"/>
      <c r="H18" s="22" t="str">
        <f t="shared" si="0"/>
        <v/>
      </c>
      <c r="I18" s="17" t="str">
        <f t="shared" si="1"/>
        <v/>
      </c>
      <c r="J18" s="18"/>
      <c r="K18" s="18"/>
    </row>
    <row r="19" spans="1:11" ht="30" customHeight="1" x14ac:dyDescent="0.35">
      <c r="A19" s="15"/>
      <c r="B19" s="15"/>
      <c r="C19" s="15"/>
      <c r="D19" s="15"/>
      <c r="E19" s="15"/>
      <c r="F19" s="15"/>
      <c r="G19" s="16"/>
      <c r="H19" s="21" t="str">
        <f t="shared" si="0"/>
        <v/>
      </c>
      <c r="I19" s="14" t="str">
        <f t="shared" si="1"/>
        <v/>
      </c>
      <c r="J19" s="15"/>
      <c r="K19" s="15"/>
    </row>
    <row r="20" spans="1:11" ht="30" customHeight="1" x14ac:dyDescent="0.35">
      <c r="A20" s="18"/>
      <c r="B20" s="18"/>
      <c r="C20" s="18"/>
      <c r="D20" s="18"/>
      <c r="E20" s="18"/>
      <c r="F20" s="18"/>
      <c r="G20" s="19"/>
      <c r="H20" s="22" t="str">
        <f t="shared" si="0"/>
        <v/>
      </c>
      <c r="I20" s="17" t="str">
        <f t="shared" si="1"/>
        <v/>
      </c>
      <c r="J20" s="18"/>
      <c r="K20" s="18"/>
    </row>
    <row r="21" spans="1:11" ht="30" customHeight="1" x14ac:dyDescent="0.35">
      <c r="A21" s="15"/>
      <c r="B21" s="15"/>
      <c r="C21" s="15"/>
      <c r="D21" s="15"/>
      <c r="E21" s="15"/>
      <c r="F21" s="15"/>
      <c r="G21" s="16"/>
      <c r="H21" s="21" t="str">
        <f t="shared" si="0"/>
        <v/>
      </c>
      <c r="I21" s="14" t="str">
        <f t="shared" si="1"/>
        <v/>
      </c>
      <c r="J21" s="15"/>
      <c r="K21" s="15"/>
    </row>
    <row r="22" spans="1:11" ht="30" customHeight="1" x14ac:dyDescent="0.35">
      <c r="A22" s="18"/>
      <c r="B22" s="18"/>
      <c r="C22" s="18"/>
      <c r="D22" s="18"/>
      <c r="E22" s="18"/>
      <c r="F22" s="18"/>
      <c r="G22" s="19"/>
      <c r="H22" s="22" t="str">
        <f t="shared" si="0"/>
        <v/>
      </c>
      <c r="I22" s="17" t="str">
        <f t="shared" si="1"/>
        <v/>
      </c>
      <c r="J22" s="18"/>
      <c r="K22" s="18"/>
    </row>
    <row r="23" spans="1:11" ht="30" customHeight="1" x14ac:dyDescent="0.35">
      <c r="A23" s="15"/>
      <c r="B23" s="15"/>
      <c r="C23" s="15"/>
      <c r="D23" s="15"/>
      <c r="E23" s="15"/>
      <c r="F23" s="15"/>
      <c r="G23" s="16"/>
      <c r="H23" s="21" t="str">
        <f t="shared" si="0"/>
        <v/>
      </c>
      <c r="I23" s="14" t="str">
        <f t="shared" si="1"/>
        <v/>
      </c>
      <c r="J23" s="15"/>
      <c r="K23" s="15"/>
    </row>
    <row r="24" spans="1:11" ht="30" customHeight="1" x14ac:dyDescent="0.35">
      <c r="A24" s="18"/>
      <c r="B24" s="18"/>
      <c r="C24" s="18"/>
      <c r="D24" s="18"/>
      <c r="E24" s="18"/>
      <c r="F24" s="18"/>
      <c r="G24" s="19"/>
      <c r="H24" s="22" t="str">
        <f t="shared" si="0"/>
        <v/>
      </c>
      <c r="I24" s="17" t="str">
        <f t="shared" si="1"/>
        <v/>
      </c>
      <c r="J24" s="18"/>
      <c r="K24" s="18"/>
    </row>
    <row r="25" spans="1:11" ht="30" customHeight="1" x14ac:dyDescent="0.35">
      <c r="A25" s="15"/>
      <c r="B25" s="15"/>
      <c r="C25" s="15"/>
      <c r="D25" s="15"/>
      <c r="E25" s="15"/>
      <c r="F25" s="15"/>
      <c r="G25" s="16"/>
      <c r="H25" s="21" t="str">
        <f t="shared" si="0"/>
        <v/>
      </c>
      <c r="I25" s="14" t="str">
        <f t="shared" si="1"/>
        <v/>
      </c>
      <c r="J25" s="15"/>
      <c r="K25" s="15"/>
    </row>
    <row r="26" spans="1:11" ht="30" customHeight="1" x14ac:dyDescent="0.35">
      <c r="A26" s="18"/>
      <c r="B26" s="18"/>
      <c r="C26" s="18"/>
      <c r="D26" s="18"/>
      <c r="E26" s="18"/>
      <c r="F26" s="18"/>
      <c r="G26" s="19"/>
      <c r="H26" s="22" t="str">
        <f t="shared" si="0"/>
        <v/>
      </c>
      <c r="I26" s="17" t="str">
        <f t="shared" si="1"/>
        <v/>
      </c>
      <c r="J26" s="18"/>
      <c r="K26" s="18"/>
    </row>
    <row r="27" spans="1:11" ht="30" customHeight="1" x14ac:dyDescent="0.35">
      <c r="A27" s="15"/>
      <c r="B27" s="15"/>
      <c r="C27" s="15"/>
      <c r="D27" s="15"/>
      <c r="E27" s="15"/>
      <c r="F27" s="15"/>
      <c r="G27" s="16"/>
      <c r="H27" s="21" t="str">
        <f t="shared" si="0"/>
        <v/>
      </c>
      <c r="I27" s="14" t="str">
        <f t="shared" si="1"/>
        <v/>
      </c>
      <c r="J27" s="15"/>
      <c r="K27" s="15"/>
    </row>
    <row r="28" spans="1:11" ht="30" customHeight="1" x14ac:dyDescent="0.35">
      <c r="A28" s="18"/>
      <c r="B28" s="18"/>
      <c r="C28" s="18"/>
      <c r="D28" s="18"/>
      <c r="E28" s="18"/>
      <c r="F28" s="18"/>
      <c r="G28" s="19"/>
      <c r="H28" s="22" t="str">
        <f t="shared" si="0"/>
        <v/>
      </c>
      <c r="I28" s="17" t="str">
        <f t="shared" si="1"/>
        <v/>
      </c>
      <c r="J28" s="18"/>
      <c r="K28" s="18"/>
    </row>
    <row r="29" spans="1:11" ht="30" customHeight="1" x14ac:dyDescent="0.35">
      <c r="A29" s="15"/>
      <c r="B29" s="15"/>
      <c r="C29" s="15"/>
      <c r="D29" s="15"/>
      <c r="E29" s="15"/>
      <c r="F29" s="15"/>
      <c r="G29" s="16"/>
      <c r="H29" s="21" t="str">
        <f t="shared" si="0"/>
        <v/>
      </c>
      <c r="I29" s="14" t="str">
        <f t="shared" si="1"/>
        <v/>
      </c>
      <c r="J29" s="15"/>
      <c r="K29" s="15"/>
    </row>
    <row r="30" spans="1:11" ht="30" customHeight="1" x14ac:dyDescent="0.35">
      <c r="A30" s="18"/>
      <c r="B30" s="18"/>
      <c r="C30" s="18"/>
      <c r="D30" s="18"/>
      <c r="E30" s="18"/>
      <c r="F30" s="18"/>
      <c r="G30" s="19"/>
      <c r="H30" s="22" t="str">
        <f t="shared" si="0"/>
        <v/>
      </c>
      <c r="I30" s="17" t="str">
        <f t="shared" si="1"/>
        <v/>
      </c>
      <c r="J30" s="18"/>
      <c r="K30" s="18"/>
    </row>
    <row r="31" spans="1:11" ht="30" customHeight="1" x14ac:dyDescent="0.35">
      <c r="A31" s="15"/>
      <c r="B31" s="15"/>
      <c r="C31" s="15"/>
      <c r="D31" s="15"/>
      <c r="E31" s="15"/>
      <c r="F31" s="15"/>
      <c r="G31" s="16"/>
      <c r="H31" s="21" t="str">
        <f t="shared" si="0"/>
        <v/>
      </c>
      <c r="I31" s="14" t="str">
        <f t="shared" si="1"/>
        <v/>
      </c>
      <c r="J31" s="15"/>
      <c r="K31" s="15"/>
    </row>
    <row r="32" spans="1:11" ht="30" customHeight="1" x14ac:dyDescent="0.35">
      <c r="A32" s="18"/>
      <c r="B32" s="18"/>
      <c r="C32" s="18"/>
      <c r="D32" s="18"/>
      <c r="E32" s="18"/>
      <c r="F32" s="18"/>
      <c r="G32" s="19"/>
      <c r="H32" s="22" t="str">
        <f t="shared" si="0"/>
        <v/>
      </c>
      <c r="I32" s="17" t="str">
        <f t="shared" si="1"/>
        <v/>
      </c>
      <c r="J32" s="18"/>
      <c r="K32" s="18"/>
    </row>
    <row r="33" spans="1:11" ht="30" customHeight="1" x14ac:dyDescent="0.35">
      <c r="A33" s="15"/>
      <c r="B33" s="15"/>
      <c r="C33" s="15"/>
      <c r="D33" s="15"/>
      <c r="E33" s="15"/>
      <c r="F33" s="15"/>
      <c r="G33" s="16"/>
      <c r="H33" s="21" t="str">
        <f t="shared" si="0"/>
        <v/>
      </c>
      <c r="I33" s="14" t="str">
        <f t="shared" si="1"/>
        <v/>
      </c>
      <c r="J33" s="15"/>
      <c r="K33" s="15"/>
    </row>
    <row r="34" spans="1:11" ht="30" customHeight="1" x14ac:dyDescent="0.35">
      <c r="A34" s="18"/>
      <c r="B34" s="18"/>
      <c r="C34" s="18"/>
      <c r="D34" s="18"/>
      <c r="E34" s="18"/>
      <c r="F34" s="18"/>
      <c r="G34" s="19"/>
      <c r="H34" s="22" t="str">
        <f t="shared" si="0"/>
        <v/>
      </c>
      <c r="I34" s="17" t="str">
        <f t="shared" si="1"/>
        <v/>
      </c>
      <c r="J34" s="18"/>
      <c r="K34" s="18"/>
    </row>
    <row r="35" spans="1:11" ht="30" customHeight="1" x14ac:dyDescent="0.35">
      <c r="A35" s="15"/>
      <c r="B35" s="15"/>
      <c r="C35" s="15"/>
      <c r="D35" s="15"/>
      <c r="E35" s="15"/>
      <c r="F35" s="15"/>
      <c r="G35" s="16"/>
      <c r="H35" s="21" t="str">
        <f t="shared" si="0"/>
        <v/>
      </c>
      <c r="I35" s="14" t="str">
        <f t="shared" si="1"/>
        <v/>
      </c>
      <c r="J35" s="15"/>
      <c r="K35" s="15"/>
    </row>
    <row r="36" spans="1:11" ht="30" customHeight="1" x14ac:dyDescent="0.35">
      <c r="A36" s="18"/>
      <c r="B36" s="18"/>
      <c r="C36" s="18"/>
      <c r="D36" s="18"/>
      <c r="E36" s="18"/>
      <c r="F36" s="18"/>
      <c r="G36" s="19"/>
      <c r="H36" s="22" t="str">
        <f t="shared" si="0"/>
        <v/>
      </c>
      <c r="I36" s="17" t="str">
        <f t="shared" si="1"/>
        <v/>
      </c>
      <c r="J36" s="18"/>
      <c r="K36" s="18"/>
    </row>
    <row r="37" spans="1:11" ht="30" customHeight="1" x14ac:dyDescent="0.35">
      <c r="A37" s="15"/>
      <c r="B37" s="15"/>
      <c r="C37" s="15"/>
      <c r="D37" s="15"/>
      <c r="E37" s="15"/>
      <c r="F37" s="15"/>
      <c r="G37" s="16"/>
      <c r="H37" s="21" t="str">
        <f t="shared" si="0"/>
        <v/>
      </c>
      <c r="I37" s="14" t="str">
        <f t="shared" si="1"/>
        <v/>
      </c>
      <c r="J37" s="15"/>
      <c r="K37" s="15"/>
    </row>
    <row r="38" spans="1:11" ht="30" customHeight="1" x14ac:dyDescent="0.35">
      <c r="A38" s="18"/>
      <c r="B38" s="18"/>
      <c r="C38" s="18"/>
      <c r="D38" s="18"/>
      <c r="E38" s="18"/>
      <c r="F38" s="18"/>
      <c r="G38" s="19"/>
      <c r="H38" s="22" t="str">
        <f t="shared" si="0"/>
        <v/>
      </c>
      <c r="I38" s="17" t="str">
        <f t="shared" si="1"/>
        <v/>
      </c>
      <c r="J38" s="18"/>
      <c r="K38" s="18"/>
    </row>
    <row r="39" spans="1:11" ht="30" customHeight="1" x14ac:dyDescent="0.35">
      <c r="A39" s="15"/>
      <c r="B39" s="15"/>
      <c r="C39" s="15"/>
      <c r="D39" s="15"/>
      <c r="E39" s="15"/>
      <c r="F39" s="15"/>
      <c r="G39" s="16"/>
      <c r="H39" s="21" t="str">
        <f t="shared" si="0"/>
        <v/>
      </c>
      <c r="I39" s="14" t="str">
        <f t="shared" si="1"/>
        <v/>
      </c>
      <c r="J39" s="15"/>
      <c r="K39" s="15"/>
    </row>
    <row r="40" spans="1:11" ht="30" customHeight="1" x14ac:dyDescent="0.35">
      <c r="A40" s="18"/>
      <c r="B40" s="18"/>
      <c r="C40" s="18"/>
      <c r="D40" s="18"/>
      <c r="E40" s="18"/>
      <c r="F40" s="18"/>
      <c r="G40" s="19"/>
      <c r="H40" s="22" t="str">
        <f t="shared" ref="H40:H67" si="2">IF(OR(F40="",G40=""),"",IFERROR((G40-F40)/F40,""))</f>
        <v/>
      </c>
      <c r="I40" s="17" t="str">
        <f t="shared" ref="I40:I67" si="3">IF(OR(F40="",G40=""),"",IF(E40="&lt;=",IF(G40&lt;=F40,"SI","NO"),IF(G40&gt;=F40,"SI","NO")))</f>
        <v/>
      </c>
      <c r="J40" s="18"/>
      <c r="K40" s="18"/>
    </row>
    <row r="41" spans="1:11" ht="30" customHeight="1" x14ac:dyDescent="0.35">
      <c r="A41" s="15"/>
      <c r="B41" s="15"/>
      <c r="C41" s="15"/>
      <c r="D41" s="15"/>
      <c r="E41" s="15"/>
      <c r="F41" s="15"/>
      <c r="G41" s="16"/>
      <c r="H41" s="21" t="str">
        <f t="shared" si="2"/>
        <v/>
      </c>
      <c r="I41" s="14" t="str">
        <f t="shared" si="3"/>
        <v/>
      </c>
      <c r="J41" s="15"/>
      <c r="K41" s="15"/>
    </row>
    <row r="42" spans="1:11" ht="30" customHeight="1" x14ac:dyDescent="0.35">
      <c r="A42" s="18"/>
      <c r="B42" s="18"/>
      <c r="C42" s="18"/>
      <c r="D42" s="18"/>
      <c r="E42" s="18"/>
      <c r="F42" s="18"/>
      <c r="G42" s="19"/>
      <c r="H42" s="22" t="str">
        <f t="shared" si="2"/>
        <v/>
      </c>
      <c r="I42" s="17" t="str">
        <f t="shared" si="3"/>
        <v/>
      </c>
      <c r="J42" s="18"/>
      <c r="K42" s="18"/>
    </row>
    <row r="43" spans="1:11" ht="30" customHeight="1" x14ac:dyDescent="0.35">
      <c r="A43" s="15"/>
      <c r="B43" s="15"/>
      <c r="C43" s="15"/>
      <c r="D43" s="15"/>
      <c r="E43" s="15"/>
      <c r="F43" s="15"/>
      <c r="G43" s="16"/>
      <c r="H43" s="21" t="str">
        <f t="shared" si="2"/>
        <v/>
      </c>
      <c r="I43" s="14" t="str">
        <f t="shared" si="3"/>
        <v/>
      </c>
      <c r="J43" s="15"/>
      <c r="K43" s="15"/>
    </row>
    <row r="44" spans="1:11" ht="30" customHeight="1" x14ac:dyDescent="0.35">
      <c r="A44" s="18"/>
      <c r="B44" s="18"/>
      <c r="C44" s="18"/>
      <c r="D44" s="18"/>
      <c r="E44" s="18"/>
      <c r="F44" s="18"/>
      <c r="G44" s="19"/>
      <c r="H44" s="22" t="str">
        <f t="shared" si="2"/>
        <v/>
      </c>
      <c r="I44" s="17" t="str">
        <f t="shared" si="3"/>
        <v/>
      </c>
      <c r="J44" s="18"/>
      <c r="K44" s="18"/>
    </row>
    <row r="45" spans="1:11" ht="30" customHeight="1" x14ac:dyDescent="0.35">
      <c r="A45" s="15"/>
      <c r="B45" s="15"/>
      <c r="C45" s="15"/>
      <c r="D45" s="15"/>
      <c r="E45" s="15"/>
      <c r="F45" s="15"/>
      <c r="G45" s="16"/>
      <c r="H45" s="21" t="str">
        <f t="shared" si="2"/>
        <v/>
      </c>
      <c r="I45" s="14" t="str">
        <f t="shared" si="3"/>
        <v/>
      </c>
      <c r="J45" s="15"/>
      <c r="K45" s="15"/>
    </row>
    <row r="46" spans="1:11" ht="30" customHeight="1" x14ac:dyDescent="0.35">
      <c r="A46" s="18"/>
      <c r="B46" s="18"/>
      <c r="C46" s="18"/>
      <c r="D46" s="18"/>
      <c r="E46" s="18"/>
      <c r="F46" s="18"/>
      <c r="G46" s="19"/>
      <c r="H46" s="22" t="str">
        <f t="shared" si="2"/>
        <v/>
      </c>
      <c r="I46" s="17" t="str">
        <f t="shared" si="3"/>
        <v/>
      </c>
      <c r="J46" s="18"/>
      <c r="K46" s="18"/>
    </row>
    <row r="47" spans="1:11" ht="30" customHeight="1" x14ac:dyDescent="0.35">
      <c r="A47" s="15"/>
      <c r="B47" s="15"/>
      <c r="C47" s="15"/>
      <c r="D47" s="15"/>
      <c r="E47" s="15"/>
      <c r="F47" s="15"/>
      <c r="G47" s="16"/>
      <c r="H47" s="21" t="str">
        <f t="shared" si="2"/>
        <v/>
      </c>
      <c r="I47" s="14" t="str">
        <f t="shared" si="3"/>
        <v/>
      </c>
      <c r="J47" s="15"/>
      <c r="K47" s="15"/>
    </row>
    <row r="48" spans="1:11" ht="30" customHeight="1" x14ac:dyDescent="0.35">
      <c r="A48" s="18"/>
      <c r="B48" s="18"/>
      <c r="C48" s="18"/>
      <c r="D48" s="18"/>
      <c r="E48" s="18"/>
      <c r="F48" s="18"/>
      <c r="G48" s="19"/>
      <c r="H48" s="22" t="str">
        <f t="shared" si="2"/>
        <v/>
      </c>
      <c r="I48" s="17" t="str">
        <f t="shared" si="3"/>
        <v/>
      </c>
      <c r="J48" s="18"/>
      <c r="K48" s="18"/>
    </row>
    <row r="49" spans="1:11" ht="30" customHeight="1" x14ac:dyDescent="0.35">
      <c r="A49" s="15"/>
      <c r="B49" s="15"/>
      <c r="C49" s="15"/>
      <c r="D49" s="15"/>
      <c r="E49" s="15"/>
      <c r="F49" s="15"/>
      <c r="G49" s="16"/>
      <c r="H49" s="21" t="str">
        <f t="shared" si="2"/>
        <v/>
      </c>
      <c r="I49" s="14" t="str">
        <f t="shared" si="3"/>
        <v/>
      </c>
      <c r="J49" s="15"/>
      <c r="K49" s="15"/>
    </row>
    <row r="50" spans="1:11" ht="30" customHeight="1" x14ac:dyDescent="0.35">
      <c r="A50" s="18"/>
      <c r="B50" s="18"/>
      <c r="C50" s="18"/>
      <c r="D50" s="18"/>
      <c r="E50" s="18"/>
      <c r="F50" s="18"/>
      <c r="G50" s="19"/>
      <c r="H50" s="22" t="str">
        <f t="shared" si="2"/>
        <v/>
      </c>
      <c r="I50" s="17" t="str">
        <f t="shared" si="3"/>
        <v/>
      </c>
      <c r="J50" s="18"/>
      <c r="K50" s="18"/>
    </row>
    <row r="51" spans="1:11" ht="30" customHeight="1" x14ac:dyDescent="0.35">
      <c r="A51" s="15"/>
      <c r="B51" s="15"/>
      <c r="C51" s="15"/>
      <c r="D51" s="15"/>
      <c r="E51" s="15"/>
      <c r="F51" s="15"/>
      <c r="G51" s="16"/>
      <c r="H51" s="21" t="str">
        <f t="shared" si="2"/>
        <v/>
      </c>
      <c r="I51" s="14" t="str">
        <f t="shared" si="3"/>
        <v/>
      </c>
      <c r="J51" s="15"/>
      <c r="K51" s="15"/>
    </row>
    <row r="52" spans="1:11" ht="30" customHeight="1" x14ac:dyDescent="0.35">
      <c r="A52" s="18"/>
      <c r="B52" s="18"/>
      <c r="C52" s="18"/>
      <c r="D52" s="18"/>
      <c r="E52" s="18"/>
      <c r="F52" s="18"/>
      <c r="G52" s="19"/>
      <c r="H52" s="22" t="str">
        <f t="shared" si="2"/>
        <v/>
      </c>
      <c r="I52" s="17" t="str">
        <f t="shared" si="3"/>
        <v/>
      </c>
      <c r="J52" s="18"/>
      <c r="K52" s="18"/>
    </row>
    <row r="53" spans="1:11" ht="30" customHeight="1" x14ac:dyDescent="0.35">
      <c r="A53" s="15"/>
      <c r="B53" s="15"/>
      <c r="C53" s="15"/>
      <c r="D53" s="15"/>
      <c r="E53" s="15"/>
      <c r="F53" s="15"/>
      <c r="G53" s="16"/>
      <c r="H53" s="21" t="str">
        <f t="shared" si="2"/>
        <v/>
      </c>
      <c r="I53" s="14" t="str">
        <f t="shared" si="3"/>
        <v/>
      </c>
      <c r="J53" s="15"/>
      <c r="K53" s="15"/>
    </row>
    <row r="54" spans="1:11" ht="30" customHeight="1" x14ac:dyDescent="0.35">
      <c r="A54" s="18"/>
      <c r="B54" s="18"/>
      <c r="C54" s="18"/>
      <c r="D54" s="18"/>
      <c r="E54" s="18"/>
      <c r="F54" s="18"/>
      <c r="G54" s="19"/>
      <c r="H54" s="22" t="str">
        <f t="shared" si="2"/>
        <v/>
      </c>
      <c r="I54" s="17" t="str">
        <f t="shared" si="3"/>
        <v/>
      </c>
      <c r="J54" s="18"/>
      <c r="K54" s="18"/>
    </row>
    <row r="55" spans="1:11" ht="30" customHeight="1" x14ac:dyDescent="0.35">
      <c r="A55" s="15"/>
      <c r="B55" s="15"/>
      <c r="C55" s="15"/>
      <c r="D55" s="15"/>
      <c r="E55" s="15"/>
      <c r="F55" s="15"/>
      <c r="G55" s="16"/>
      <c r="H55" s="21" t="str">
        <f t="shared" si="2"/>
        <v/>
      </c>
      <c r="I55" s="14" t="str">
        <f t="shared" si="3"/>
        <v/>
      </c>
      <c r="J55" s="15"/>
      <c r="K55" s="15"/>
    </row>
    <row r="56" spans="1:11" ht="30" customHeight="1" x14ac:dyDescent="0.35">
      <c r="A56" s="18"/>
      <c r="B56" s="18"/>
      <c r="C56" s="18"/>
      <c r="D56" s="18"/>
      <c r="E56" s="18"/>
      <c r="F56" s="18"/>
      <c r="G56" s="19"/>
      <c r="H56" s="22" t="str">
        <f t="shared" si="2"/>
        <v/>
      </c>
      <c r="I56" s="17" t="str">
        <f t="shared" si="3"/>
        <v/>
      </c>
      <c r="J56" s="18"/>
      <c r="K56" s="18"/>
    </row>
    <row r="57" spans="1:11" ht="30" customHeight="1" x14ac:dyDescent="0.35">
      <c r="A57" s="15"/>
      <c r="B57" s="15"/>
      <c r="C57" s="15"/>
      <c r="D57" s="15"/>
      <c r="E57" s="15"/>
      <c r="F57" s="15"/>
      <c r="G57" s="16"/>
      <c r="H57" s="21" t="str">
        <f t="shared" si="2"/>
        <v/>
      </c>
      <c r="I57" s="14" t="str">
        <f t="shared" si="3"/>
        <v/>
      </c>
      <c r="J57" s="15"/>
      <c r="K57" s="15"/>
    </row>
    <row r="58" spans="1:11" ht="30" customHeight="1" x14ac:dyDescent="0.35">
      <c r="A58" s="18"/>
      <c r="B58" s="18"/>
      <c r="C58" s="18"/>
      <c r="D58" s="18"/>
      <c r="E58" s="18"/>
      <c r="F58" s="18"/>
      <c r="G58" s="19"/>
      <c r="H58" s="22" t="str">
        <f t="shared" si="2"/>
        <v/>
      </c>
      <c r="I58" s="17" t="str">
        <f t="shared" si="3"/>
        <v/>
      </c>
      <c r="J58" s="18"/>
      <c r="K58" s="18"/>
    </row>
    <row r="59" spans="1:11" ht="30" customHeight="1" x14ac:dyDescent="0.35">
      <c r="A59" s="15"/>
      <c r="B59" s="15"/>
      <c r="C59" s="15"/>
      <c r="D59" s="15"/>
      <c r="E59" s="15"/>
      <c r="F59" s="15"/>
      <c r="G59" s="16"/>
      <c r="H59" s="21" t="str">
        <f t="shared" si="2"/>
        <v/>
      </c>
      <c r="I59" s="14" t="str">
        <f t="shared" si="3"/>
        <v/>
      </c>
      <c r="J59" s="15"/>
      <c r="K59" s="15"/>
    </row>
    <row r="60" spans="1:11" ht="30" customHeight="1" x14ac:dyDescent="0.35">
      <c r="A60" s="18"/>
      <c r="B60" s="18"/>
      <c r="C60" s="18"/>
      <c r="D60" s="18"/>
      <c r="E60" s="18"/>
      <c r="F60" s="18"/>
      <c r="G60" s="19"/>
      <c r="H60" s="22" t="str">
        <f t="shared" si="2"/>
        <v/>
      </c>
      <c r="I60" s="17" t="str">
        <f t="shared" si="3"/>
        <v/>
      </c>
      <c r="J60" s="18"/>
      <c r="K60" s="18"/>
    </row>
    <row r="61" spans="1:11" ht="30" customHeight="1" x14ac:dyDescent="0.35">
      <c r="A61" s="15"/>
      <c r="B61" s="15"/>
      <c r="C61" s="15"/>
      <c r="D61" s="15"/>
      <c r="E61" s="15"/>
      <c r="F61" s="15"/>
      <c r="G61" s="16"/>
      <c r="H61" s="21" t="str">
        <f t="shared" si="2"/>
        <v/>
      </c>
      <c r="I61" s="14" t="str">
        <f t="shared" si="3"/>
        <v/>
      </c>
      <c r="J61" s="15"/>
      <c r="K61" s="15"/>
    </row>
    <row r="62" spans="1:11" ht="30" customHeight="1" x14ac:dyDescent="0.35">
      <c r="A62" s="18"/>
      <c r="B62" s="18"/>
      <c r="C62" s="18"/>
      <c r="D62" s="18"/>
      <c r="E62" s="18"/>
      <c r="F62" s="18"/>
      <c r="G62" s="19"/>
      <c r="H62" s="22" t="str">
        <f t="shared" si="2"/>
        <v/>
      </c>
      <c r="I62" s="17" t="str">
        <f t="shared" si="3"/>
        <v/>
      </c>
      <c r="J62" s="18"/>
      <c r="K62" s="18"/>
    </row>
    <row r="63" spans="1:11" ht="30" customHeight="1" x14ac:dyDescent="0.35">
      <c r="A63" s="15"/>
      <c r="B63" s="15"/>
      <c r="C63" s="15"/>
      <c r="D63" s="15"/>
      <c r="E63" s="15"/>
      <c r="F63" s="15"/>
      <c r="G63" s="16"/>
      <c r="H63" s="21" t="str">
        <f t="shared" si="2"/>
        <v/>
      </c>
      <c r="I63" s="14" t="str">
        <f t="shared" si="3"/>
        <v/>
      </c>
      <c r="J63" s="15"/>
      <c r="K63" s="15"/>
    </row>
    <row r="64" spans="1:11" ht="30" customHeight="1" x14ac:dyDescent="0.35">
      <c r="A64" s="18"/>
      <c r="B64" s="18"/>
      <c r="C64" s="18"/>
      <c r="D64" s="18"/>
      <c r="E64" s="18"/>
      <c r="F64" s="18"/>
      <c r="G64" s="19"/>
      <c r="H64" s="22" t="str">
        <f t="shared" si="2"/>
        <v/>
      </c>
      <c r="I64" s="17" t="str">
        <f t="shared" si="3"/>
        <v/>
      </c>
      <c r="J64" s="18"/>
      <c r="K64" s="18"/>
    </row>
    <row r="65" spans="1:11" ht="30" customHeight="1" x14ac:dyDescent="0.35">
      <c r="A65" s="15"/>
      <c r="B65" s="15"/>
      <c r="C65" s="15"/>
      <c r="D65" s="15"/>
      <c r="E65" s="15"/>
      <c r="F65" s="15"/>
      <c r="G65" s="16"/>
      <c r="H65" s="21" t="str">
        <f t="shared" si="2"/>
        <v/>
      </c>
      <c r="I65" s="14" t="str">
        <f t="shared" si="3"/>
        <v/>
      </c>
      <c r="J65" s="15"/>
      <c r="K65" s="15"/>
    </row>
    <row r="66" spans="1:11" ht="30" customHeight="1" x14ac:dyDescent="0.35">
      <c r="A66" s="18"/>
      <c r="B66" s="18"/>
      <c r="C66" s="18"/>
      <c r="D66" s="18"/>
      <c r="E66" s="18"/>
      <c r="F66" s="18"/>
      <c r="G66" s="19"/>
      <c r="H66" s="22" t="str">
        <f t="shared" si="2"/>
        <v/>
      </c>
      <c r="I66" s="17" t="str">
        <f t="shared" si="3"/>
        <v/>
      </c>
      <c r="J66" s="18"/>
      <c r="K66" s="18"/>
    </row>
    <row r="67" spans="1:11" ht="30" customHeight="1" x14ac:dyDescent="0.35">
      <c r="A67" s="15"/>
      <c r="B67" s="15"/>
      <c r="C67" s="15"/>
      <c r="D67" s="15"/>
      <c r="E67" s="15"/>
      <c r="F67" s="15"/>
      <c r="G67" s="16"/>
      <c r="H67" s="21" t="str">
        <f t="shared" si="2"/>
        <v/>
      </c>
      <c r="I67" s="14" t="str">
        <f t="shared" si="3"/>
        <v/>
      </c>
      <c r="J67" s="15"/>
      <c r="K67" s="15"/>
    </row>
  </sheetData>
  <mergeCells count="2">
    <mergeCell ref="A6:K6"/>
    <mergeCell ref="A1:K1"/>
  </mergeCells>
  <conditionalFormatting sqref="I8:I67">
    <cfRule type="cellIs" dxfId="11" priority="5" operator="equal">
      <formula>"SI"</formula>
    </cfRule>
    <cfRule type="cellIs" dxfId="10" priority="6" operator="equal">
      <formula>"NO"</formula>
    </cfRule>
  </conditionalFormatting>
  <conditionalFormatting sqref="J8:J67">
    <cfRule type="cellIs" dxfId="9" priority="1" operator="equal">
      <formula>"APROBADA"</formula>
    </cfRule>
    <cfRule type="cellIs" dxfId="8" priority="2" operator="equal">
      <formula>"FALLIDA"</formula>
    </cfRule>
    <cfRule type="cellIs" dxfId="7" priority="3" operator="equal">
      <formula>"OBSERVACION"</formula>
    </cfRule>
    <cfRule type="cellIs" dxfId="6" priority="4" operator="equal">
      <formula>"BLOQUEADA"</formula>
    </cfRule>
  </conditionalFormatting>
  <dataValidations count="2">
    <dataValidation type="list" allowBlank="1" errorTitle="Estado no valido" error="Elija: APROBADA, FALLIDA, BLOQUEADA u OBSERVACION." sqref="J8:J67" xr:uid="{00000000-0002-0000-0300-000000000000}">
      <formula1>"APROBADA,FALLIDA,BLOQUEADA,OBSERVACION"</formula1>
    </dataValidation>
    <dataValidation type="list" allowBlank="1" sqref="E8:E67" xr:uid="{00000000-0002-0000-0300-000001000000}">
      <formula1>"&lt;=,&gt;="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tabSelected="1" workbookViewId="0">
      <pane ySplit="7" topLeftCell="A8" activePane="bottomLeft" state="frozen"/>
      <selection pane="bottomLeft" sqref="A1:J1"/>
    </sheetView>
  </sheetViews>
  <sheetFormatPr baseColWidth="10" defaultColWidth="9.1796875" defaultRowHeight="14.5" x14ac:dyDescent="0.35"/>
  <cols>
    <col min="1" max="3" width="11" customWidth="1"/>
    <col min="4" max="4" width="18" customWidth="1"/>
    <col min="5" max="5" width="12" customWidth="1"/>
    <col min="6" max="6" width="11" customWidth="1"/>
    <col min="7" max="8" width="10" customWidth="1"/>
    <col min="9" max="9" width="48" customWidth="1"/>
    <col min="10" max="10" width="14" customWidth="1"/>
  </cols>
  <sheetData>
    <row r="1" spans="1:10" ht="26.15" customHeight="1" x14ac:dyDescent="0.35">
      <c r="A1" s="46" t="s">
        <v>252</v>
      </c>
      <c r="B1" s="45"/>
      <c r="C1" s="45"/>
      <c r="D1" s="45"/>
      <c r="E1" s="45"/>
      <c r="F1" s="45"/>
      <c r="G1" s="45"/>
      <c r="H1" s="45"/>
      <c r="I1" s="45"/>
      <c r="J1" s="45"/>
    </row>
    <row r="3" spans="1:10" x14ac:dyDescent="0.35">
      <c r="A3" s="9" t="s">
        <v>211</v>
      </c>
      <c r="B3" s="10" t="s">
        <v>212</v>
      </c>
      <c r="D3" s="9" t="s">
        <v>62</v>
      </c>
      <c r="E3" s="10" t="s">
        <v>213</v>
      </c>
    </row>
    <row r="4" spans="1:10" x14ac:dyDescent="0.35">
      <c r="A4" s="9" t="s">
        <v>58</v>
      </c>
      <c r="B4" s="10"/>
      <c r="D4" s="9" t="s">
        <v>61</v>
      </c>
      <c r="E4" s="10"/>
    </row>
    <row r="5" spans="1:10" x14ac:dyDescent="0.35">
      <c r="A5" s="9" t="s">
        <v>253</v>
      </c>
      <c r="B5" s="10" t="s">
        <v>254</v>
      </c>
      <c r="D5" s="9" t="s">
        <v>60</v>
      </c>
      <c r="E5" s="10"/>
    </row>
    <row r="6" spans="1:10" ht="26.15" customHeight="1" x14ac:dyDescent="0.35">
      <c r="A6" s="52" t="s">
        <v>255</v>
      </c>
      <c r="B6" s="45"/>
      <c r="C6" s="45"/>
      <c r="D6" s="45"/>
      <c r="E6" s="45"/>
      <c r="F6" s="45"/>
      <c r="G6" s="45"/>
      <c r="H6" s="45"/>
      <c r="I6" s="45"/>
      <c r="J6" s="45"/>
    </row>
    <row r="7" spans="1:10" ht="32.15" customHeight="1" x14ac:dyDescent="0.35">
      <c r="A7" s="11" t="s">
        <v>256</v>
      </c>
      <c r="B7" s="11" t="s">
        <v>217</v>
      </c>
      <c r="C7" s="11" t="s">
        <v>257</v>
      </c>
      <c r="D7" s="11" t="s">
        <v>232</v>
      </c>
      <c r="E7" s="11" t="s">
        <v>258</v>
      </c>
      <c r="F7" s="11" t="s">
        <v>259</v>
      </c>
      <c r="G7" s="11" t="s">
        <v>260</v>
      </c>
      <c r="H7" s="11" t="s">
        <v>261</v>
      </c>
      <c r="I7" s="11" t="s">
        <v>224</v>
      </c>
      <c r="J7" s="11" t="s">
        <v>74</v>
      </c>
    </row>
    <row r="8" spans="1:10" ht="30" customHeight="1" x14ac:dyDescent="0.35">
      <c r="A8" s="12" t="s">
        <v>262</v>
      </c>
      <c r="B8" s="12">
        <v>25</v>
      </c>
      <c r="C8" s="12" t="s">
        <v>263</v>
      </c>
      <c r="D8" s="12">
        <v>24</v>
      </c>
      <c r="E8" s="23">
        <v>180</v>
      </c>
      <c r="F8" s="24">
        <v>0</v>
      </c>
      <c r="G8" s="12">
        <v>22</v>
      </c>
      <c r="H8" s="12">
        <v>34</v>
      </c>
      <c r="I8" s="13" t="s">
        <v>226</v>
      </c>
      <c r="J8" s="12" t="s">
        <v>84</v>
      </c>
    </row>
    <row r="9" spans="1:10" ht="30" customHeight="1" x14ac:dyDescent="0.35">
      <c r="A9" s="14" t="s">
        <v>264</v>
      </c>
      <c r="B9" s="14">
        <v>25</v>
      </c>
      <c r="C9" s="14" t="s">
        <v>263</v>
      </c>
      <c r="D9" s="25"/>
      <c r="E9" s="26"/>
      <c r="F9" s="27"/>
      <c r="G9" s="25"/>
      <c r="H9" s="25"/>
      <c r="I9" s="15" t="s">
        <v>265</v>
      </c>
      <c r="J9" s="16"/>
    </row>
    <row r="10" spans="1:10" ht="30" customHeight="1" x14ac:dyDescent="0.35">
      <c r="A10" s="17" t="s">
        <v>266</v>
      </c>
      <c r="B10" s="17">
        <v>50</v>
      </c>
      <c r="C10" s="17" t="s">
        <v>263</v>
      </c>
      <c r="D10" s="28"/>
      <c r="E10" s="29"/>
      <c r="F10" s="30"/>
      <c r="G10" s="28"/>
      <c r="H10" s="28"/>
      <c r="I10" s="18"/>
      <c r="J10" s="19"/>
    </row>
    <row r="11" spans="1:10" ht="30" customHeight="1" x14ac:dyDescent="0.35">
      <c r="A11" s="14" t="s">
        <v>267</v>
      </c>
      <c r="B11" s="14">
        <v>100</v>
      </c>
      <c r="C11" s="14" t="s">
        <v>263</v>
      </c>
      <c r="D11" s="25"/>
      <c r="E11" s="26"/>
      <c r="F11" s="27"/>
      <c r="G11" s="25"/>
      <c r="H11" s="25"/>
      <c r="I11" s="15" t="s">
        <v>268</v>
      </c>
      <c r="J11" s="16"/>
    </row>
    <row r="12" spans="1:10" ht="30" customHeight="1" x14ac:dyDescent="0.35">
      <c r="A12" s="17" t="s">
        <v>269</v>
      </c>
      <c r="B12" s="17">
        <v>200</v>
      </c>
      <c r="C12" s="17" t="s">
        <v>263</v>
      </c>
      <c r="D12" s="28"/>
      <c r="E12" s="29"/>
      <c r="F12" s="30"/>
      <c r="G12" s="28"/>
      <c r="H12" s="28"/>
      <c r="I12" s="18"/>
      <c r="J12" s="19"/>
    </row>
    <row r="13" spans="1:10" ht="30" customHeight="1" x14ac:dyDescent="0.35">
      <c r="A13" s="14" t="s">
        <v>270</v>
      </c>
      <c r="B13" s="14">
        <v>400</v>
      </c>
      <c r="C13" s="14" t="s">
        <v>263</v>
      </c>
      <c r="D13" s="25"/>
      <c r="E13" s="26"/>
      <c r="F13" s="27"/>
      <c r="G13" s="25"/>
      <c r="H13" s="25"/>
      <c r="I13" s="15" t="s">
        <v>271</v>
      </c>
      <c r="J13" s="16"/>
    </row>
    <row r="14" spans="1:10" ht="30" customHeight="1" x14ac:dyDescent="0.35">
      <c r="A14" s="17" t="s">
        <v>272</v>
      </c>
      <c r="B14" s="17">
        <v>800</v>
      </c>
      <c r="C14" s="17" t="s">
        <v>263</v>
      </c>
      <c r="D14" s="28"/>
      <c r="E14" s="29"/>
      <c r="F14" s="30"/>
      <c r="G14" s="28"/>
      <c r="H14" s="28"/>
      <c r="I14" s="18" t="s">
        <v>273</v>
      </c>
      <c r="J14" s="19"/>
    </row>
    <row r="15" spans="1:10" ht="30" customHeight="1" x14ac:dyDescent="0.35">
      <c r="A15" s="14" t="s">
        <v>274</v>
      </c>
      <c r="B15" s="14">
        <v>100</v>
      </c>
      <c r="C15" s="14" t="s">
        <v>275</v>
      </c>
      <c r="D15" s="25"/>
      <c r="E15" s="26"/>
      <c r="F15" s="27"/>
      <c r="G15" s="25"/>
      <c r="H15" s="25"/>
      <c r="I15" s="15" t="s">
        <v>276</v>
      </c>
      <c r="J15" s="16"/>
    </row>
    <row r="16" spans="1:10" ht="30" customHeight="1" x14ac:dyDescent="0.35">
      <c r="A16" s="18"/>
      <c r="B16" s="18"/>
      <c r="C16" s="18"/>
      <c r="D16" s="19"/>
      <c r="E16" s="31"/>
      <c r="F16" s="32"/>
      <c r="G16" s="19"/>
      <c r="H16" s="19"/>
      <c r="I16" s="18"/>
      <c r="J16" s="19"/>
    </row>
    <row r="19" spans="1:10" x14ac:dyDescent="0.35">
      <c r="A19" s="33" t="s">
        <v>277</v>
      </c>
    </row>
    <row r="20" spans="1:10" x14ac:dyDescent="0.35">
      <c r="A20" s="11" t="s">
        <v>278</v>
      </c>
      <c r="B20" s="54" t="s">
        <v>279</v>
      </c>
      <c r="C20" s="55"/>
      <c r="D20" s="55"/>
      <c r="E20" s="56"/>
      <c r="F20" s="54" t="s">
        <v>280</v>
      </c>
      <c r="G20" s="55"/>
      <c r="H20" s="55"/>
      <c r="I20" s="55"/>
      <c r="J20" s="56"/>
    </row>
    <row r="21" spans="1:10" ht="28" customHeight="1" x14ac:dyDescent="0.35">
      <c r="A21" s="17" t="s">
        <v>281</v>
      </c>
      <c r="B21" s="53"/>
      <c r="C21" s="45"/>
      <c r="D21" s="45"/>
      <c r="E21" s="45"/>
      <c r="F21" s="53"/>
      <c r="G21" s="45"/>
      <c r="H21" s="45"/>
      <c r="I21" s="45"/>
      <c r="J21" s="45"/>
    </row>
    <row r="22" spans="1:10" ht="28" customHeight="1" x14ac:dyDescent="0.35">
      <c r="A22" s="17" t="s">
        <v>282</v>
      </c>
      <c r="B22" s="53"/>
      <c r="C22" s="45"/>
      <c r="D22" s="45"/>
      <c r="E22" s="45"/>
      <c r="F22" s="53"/>
      <c r="G22" s="45"/>
      <c r="H22" s="45"/>
      <c r="I22" s="45"/>
      <c r="J22" s="45"/>
    </row>
    <row r="23" spans="1:10" ht="28" customHeight="1" x14ac:dyDescent="0.35">
      <c r="A23" s="17" t="s">
        <v>283</v>
      </c>
      <c r="B23" s="53"/>
      <c r="C23" s="45"/>
      <c r="D23" s="45"/>
      <c r="E23" s="45"/>
      <c r="F23" s="53"/>
      <c r="G23" s="45"/>
      <c r="H23" s="45"/>
      <c r="I23" s="45"/>
      <c r="J23" s="45"/>
    </row>
    <row r="24" spans="1:10" ht="28" customHeight="1" x14ac:dyDescent="0.35">
      <c r="A24" s="17" t="s">
        <v>284</v>
      </c>
      <c r="B24" s="53"/>
      <c r="C24" s="45"/>
      <c r="D24" s="45"/>
      <c r="E24" s="45"/>
      <c r="F24" s="53"/>
      <c r="G24" s="45"/>
      <c r="H24" s="45"/>
      <c r="I24" s="45"/>
      <c r="J24" s="45"/>
    </row>
    <row r="25" spans="1:10" ht="28" customHeight="1" x14ac:dyDescent="0.35">
      <c r="A25" s="17" t="s">
        <v>285</v>
      </c>
      <c r="B25" s="53"/>
      <c r="C25" s="45"/>
      <c r="D25" s="45"/>
      <c r="E25" s="45"/>
      <c r="F25" s="53"/>
      <c r="G25" s="45"/>
      <c r="H25" s="45"/>
      <c r="I25" s="45"/>
      <c r="J25" s="45"/>
    </row>
  </sheetData>
  <mergeCells count="14">
    <mergeCell ref="A1:J1"/>
    <mergeCell ref="B23:E23"/>
    <mergeCell ref="F21:J21"/>
    <mergeCell ref="A6:J6"/>
    <mergeCell ref="F24:J24"/>
    <mergeCell ref="F20:J20"/>
    <mergeCell ref="F23:J23"/>
    <mergeCell ref="B21:E21"/>
    <mergeCell ref="F25:J25"/>
    <mergeCell ref="B25:E25"/>
    <mergeCell ref="B24:E24"/>
    <mergeCell ref="B20:E20"/>
    <mergeCell ref="F22:J22"/>
    <mergeCell ref="B22:E22"/>
  </mergeCells>
  <conditionalFormatting sqref="J8:J16">
    <cfRule type="cellIs" dxfId="5" priority="1" operator="equal">
      <formula>"APROBADA"</formula>
    </cfRule>
    <cfRule type="cellIs" dxfId="4" priority="2" operator="equal">
      <formula>"FALLIDA"</formula>
    </cfRule>
    <cfRule type="cellIs" dxfId="3" priority="3" operator="equal">
      <formula>"OBSERVACION"</formula>
    </cfRule>
    <cfRule type="cellIs" dxfId="2" priority="4" operator="equal">
      <formula>"BLOQUEADA"</formula>
    </cfRule>
  </conditionalFormatting>
  <dataValidations count="1">
    <dataValidation type="list" allowBlank="1" errorTitle="Estado no valido" error="Elija: APROBADA, FALLIDA, BLOQUEADA u OBSERVACION." sqref="J8:J16" xr:uid="{00000000-0002-0000-0400-000000000000}">
      <formula1>"APROBADA,FALLIDA,BLOQUEADA,OBSERVACION"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15"/>
  <sheetViews>
    <sheetView showGridLines="0" topLeftCell="A24" workbookViewId="0">
      <selection activeCell="I25" sqref="I25"/>
    </sheetView>
  </sheetViews>
  <sheetFormatPr baseColWidth="10" defaultColWidth="9.1796875" defaultRowHeight="14.5" x14ac:dyDescent="0.35"/>
  <cols>
    <col min="1" max="1" width="3" customWidth="1"/>
    <col min="2" max="2" width="33" customWidth="1"/>
    <col min="3" max="3" width="12" customWidth="1"/>
    <col min="4" max="4" width="13" customWidth="1"/>
    <col min="5" max="5" width="11" customWidth="1"/>
    <col min="6" max="6" width="12" customWidth="1"/>
    <col min="7" max="7" width="16" customWidth="1"/>
    <col min="8" max="8" width="12" customWidth="1"/>
  </cols>
  <sheetData>
    <row r="2" spans="2:8" ht="26.15" customHeight="1" x14ac:dyDescent="0.35">
      <c r="B2" s="46" t="s">
        <v>286</v>
      </c>
      <c r="C2" s="45"/>
      <c r="D2" s="45"/>
      <c r="E2" s="45"/>
      <c r="F2" s="45"/>
      <c r="G2" s="45"/>
      <c r="H2" s="45"/>
    </row>
    <row r="4" spans="2:8" x14ac:dyDescent="0.35">
      <c r="B4" s="47" t="s">
        <v>287</v>
      </c>
      <c r="C4" s="45"/>
      <c r="D4" s="45"/>
      <c r="E4" s="45"/>
      <c r="F4" s="45"/>
      <c r="G4" s="45"/>
      <c r="H4" s="45"/>
    </row>
    <row r="6" spans="2:8" ht="30" customHeight="1" x14ac:dyDescent="0.35">
      <c r="B6" s="11" t="s">
        <v>288</v>
      </c>
      <c r="C6" s="11" t="s">
        <v>289</v>
      </c>
      <c r="D6" s="11" t="s">
        <v>224</v>
      </c>
      <c r="E6" s="11" t="s">
        <v>290</v>
      </c>
      <c r="F6" s="11" t="s">
        <v>291</v>
      </c>
      <c r="G6" s="11" t="s">
        <v>292</v>
      </c>
      <c r="H6" s="11" t="s">
        <v>293</v>
      </c>
    </row>
    <row r="7" spans="2:8" ht="20.149999999999999" customHeight="1" x14ac:dyDescent="0.35">
      <c r="B7" s="34" t="s">
        <v>294</v>
      </c>
      <c r="C7" s="17">
        <f>COUNTIF('M1 Unitarias'!$H$9:$H$67,"APROBADA")</f>
        <v>0</v>
      </c>
      <c r="D7" s="17">
        <f>COUNTIF('M1 Unitarias'!$H$9:$H$67,"OBSERVACION")</f>
        <v>0</v>
      </c>
      <c r="E7" s="17">
        <f>COUNTIF('M1 Unitarias'!$H$9:$H$67,"FALLIDA")</f>
        <v>0</v>
      </c>
      <c r="F7" s="17">
        <f>COUNTIF('M1 Unitarias'!$H$9:$H$67,"BLOQUEADA")</f>
        <v>0</v>
      </c>
      <c r="G7" s="17">
        <f>SUM(C7:F7)</f>
        <v>0</v>
      </c>
      <c r="H7" s="35">
        <f>IFERROR((C7+D7)/G7,0)</f>
        <v>0</v>
      </c>
    </row>
    <row r="8" spans="2:8" ht="20.149999999999999" customHeight="1" x14ac:dyDescent="0.35">
      <c r="B8" s="34" t="s">
        <v>295</v>
      </c>
      <c r="C8" s="17">
        <f>COUNTIF('M2 Integracion'!$H$9:$H$67,"APROBADA")</f>
        <v>0</v>
      </c>
      <c r="D8" s="17">
        <f>COUNTIF('M2 Integracion'!$H$9:$H$67,"OBSERVACION")</f>
        <v>0</v>
      </c>
      <c r="E8" s="17">
        <f>COUNTIF('M2 Integracion'!$H$9:$H$67,"FALLIDA")</f>
        <v>0</v>
      </c>
      <c r="F8" s="17">
        <f>COUNTIF('M2 Integracion'!$H$9:$H$67,"BLOQUEADA")</f>
        <v>0</v>
      </c>
      <c r="G8" s="17">
        <f>SUM(C8:F8)</f>
        <v>0</v>
      </c>
      <c r="H8" s="35">
        <f>IFERROR((C8+D8)/G8,0)</f>
        <v>0</v>
      </c>
    </row>
    <row r="9" spans="2:8" ht="20.149999999999999" customHeight="1" x14ac:dyDescent="0.35">
      <c r="B9" s="34" t="s">
        <v>296</v>
      </c>
      <c r="C9" s="17">
        <f>COUNTIF('M3 Carga'!$J$9:$J$67,"APROBADA")</f>
        <v>0</v>
      </c>
      <c r="D9" s="17">
        <f>COUNTIF('M3 Carga'!$J$9:$J$67,"OBSERVACION")</f>
        <v>0</v>
      </c>
      <c r="E9" s="17">
        <f>COUNTIF('M3 Carga'!$J$9:$J$67,"FALLIDA")</f>
        <v>0</v>
      </c>
      <c r="F9" s="17">
        <f>COUNTIF('M3 Carga'!$J$9:$J$67,"BLOQUEADA")</f>
        <v>0</v>
      </c>
      <c r="G9" s="17">
        <f>SUM(C9:F9)</f>
        <v>0</v>
      </c>
      <c r="H9" s="35">
        <f>IFERROR((C9+D9)/G9,0)</f>
        <v>0</v>
      </c>
    </row>
    <row r="10" spans="2:8" ht="20.149999999999999" customHeight="1" x14ac:dyDescent="0.35">
      <c r="B10" s="34" t="s">
        <v>297</v>
      </c>
      <c r="C10" s="17">
        <f>COUNTIF('M4 Estres'!$J$9:$J$16,"APROBADA")</f>
        <v>0</v>
      </c>
      <c r="D10" s="17">
        <f>COUNTIF('M4 Estres'!$J$9:$J$16,"OBSERVACION")</f>
        <v>0</v>
      </c>
      <c r="E10" s="17">
        <f>COUNTIF('M4 Estres'!$J$9:$J$16,"FALLIDA")</f>
        <v>0</v>
      </c>
      <c r="F10" s="17">
        <f>COUNTIF('M4 Estres'!$J$9:$J$16,"BLOQUEADA")</f>
        <v>0</v>
      </c>
      <c r="G10" s="17">
        <f>SUM(C10:F10)</f>
        <v>0</v>
      </c>
      <c r="H10" s="35">
        <f>IFERROR((C10+D10)/G10,0)</f>
        <v>0</v>
      </c>
    </row>
    <row r="11" spans="2:8" x14ac:dyDescent="0.35">
      <c r="B11" s="36" t="s">
        <v>298</v>
      </c>
      <c r="C11" s="11">
        <f>SUM(C7:C10)</f>
        <v>0</v>
      </c>
      <c r="D11" s="11">
        <f>SUM(D7:D10)</f>
        <v>0</v>
      </c>
      <c r="E11" s="11">
        <f>SUM(E7:E10)</f>
        <v>0</v>
      </c>
      <c r="F11" s="11">
        <f>SUM(F7:F10)</f>
        <v>0</v>
      </c>
      <c r="G11" s="11">
        <f>SUM(G7:G10)</f>
        <v>0</v>
      </c>
      <c r="H11" s="37">
        <f>IFERROR((C11+D11)/G11,0)</f>
        <v>0</v>
      </c>
    </row>
    <row r="13" spans="2:8" ht="24" customHeight="1" x14ac:dyDescent="0.35">
      <c r="B13" s="33" t="s">
        <v>299</v>
      </c>
      <c r="C13" s="44" t="str">
        <f>IF(G11=0,"SIN EJECUTAR - todavia no se ha registrado ningun resultado",IF(E11&gt;0,"NO LIBERAR - hay "&amp;E11&amp;" prueba(s) fallida(s)",IF(F11&gt;0,"REVISAR - hay "&amp;F11&amp;" prueba(s) bloqueada(s)",IF(D11&gt;0,"LIBERAR CON OBSERVACIONES - "&amp;D11&amp;" hallazgo(s) a vigilar","LIBERAR - todas las pruebas aprobadas"))))</f>
        <v>SIN EJECUTAR - todavia no se ha registrado ningun resultado</v>
      </c>
      <c r="D13" s="45"/>
      <c r="E13" s="45"/>
      <c r="F13" s="45"/>
      <c r="G13" s="45"/>
      <c r="H13" s="45"/>
    </row>
    <row r="14" spans="2:8" x14ac:dyDescent="0.35">
      <c r="C14" s="38" t="s">
        <v>300</v>
      </c>
      <c r="D14" s="38" t="s">
        <v>301</v>
      </c>
      <c r="E14" s="38" t="s">
        <v>302</v>
      </c>
      <c r="F14" s="38" t="s">
        <v>303</v>
      </c>
      <c r="G14" s="38" t="s">
        <v>304</v>
      </c>
      <c r="H14" s="38" t="s">
        <v>305</v>
      </c>
    </row>
    <row r="15" spans="2:8" x14ac:dyDescent="0.35">
      <c r="B15" s="1" t="s">
        <v>306</v>
      </c>
      <c r="C15" s="17">
        <f>COUNTA('M1 Unitarias'!$A$9:$A$67)</f>
        <v>10</v>
      </c>
      <c r="D15" s="17">
        <f>COUNTA('M2 Integracion'!$A$9:$A$67)</f>
        <v>12</v>
      </c>
      <c r="E15" s="17">
        <f>COUNTA('M3 Carga'!$A$9:$A$67)</f>
        <v>10</v>
      </c>
      <c r="F15" s="17">
        <f>COUNTA('M4 Estres'!$A$9:$A$16)</f>
        <v>7</v>
      </c>
      <c r="G15" s="17">
        <f>SUM(C15:F15)</f>
        <v>39</v>
      </c>
      <c r="H15" s="39">
        <f>IFERROR(G11/G15,0)</f>
        <v>0</v>
      </c>
    </row>
  </sheetData>
  <mergeCells count="3">
    <mergeCell ref="B4:H4"/>
    <mergeCell ref="C13:H13"/>
    <mergeCell ref="B2:H2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26"/>
  <sheetViews>
    <sheetView showGridLines="0" topLeftCell="A9" workbookViewId="0">
      <selection activeCell="I23" sqref="I23"/>
    </sheetView>
  </sheetViews>
  <sheetFormatPr baseColWidth="10" defaultColWidth="9.1796875" defaultRowHeight="14.5" x14ac:dyDescent="0.35"/>
  <cols>
    <col min="1" max="1" width="3" customWidth="1"/>
    <col min="2" max="2" width="38" customWidth="1"/>
    <col min="3" max="3" width="24" customWidth="1"/>
    <col min="4" max="4" width="30" customWidth="1"/>
    <col min="5" max="5" width="30.54296875" customWidth="1"/>
  </cols>
  <sheetData>
    <row r="2" spans="2:5" ht="26.15" customHeight="1" x14ac:dyDescent="0.35">
      <c r="B2" s="46" t="s">
        <v>307</v>
      </c>
      <c r="C2" s="45"/>
      <c r="D2" s="45"/>
      <c r="E2" s="45"/>
    </row>
    <row r="4" spans="2:5" x14ac:dyDescent="0.35">
      <c r="B4" s="47"/>
      <c r="C4" s="45"/>
      <c r="D4" s="45"/>
      <c r="E4" s="45"/>
    </row>
    <row r="6" spans="2:5" ht="26.15" customHeight="1" x14ac:dyDescent="0.35">
      <c r="B6" s="11" t="s">
        <v>219</v>
      </c>
      <c r="C6" s="11" t="s">
        <v>308</v>
      </c>
      <c r="D6" s="11" t="s">
        <v>73</v>
      </c>
      <c r="E6" s="11" t="s">
        <v>223</v>
      </c>
    </row>
    <row r="7" spans="2:5" ht="20.149999999999999" customHeight="1" x14ac:dyDescent="0.35">
      <c r="B7" s="40" t="s">
        <v>309</v>
      </c>
      <c r="C7" s="41" t="s">
        <v>310</v>
      </c>
      <c r="D7" s="42"/>
      <c r="E7" s="28"/>
    </row>
    <row r="8" spans="2:5" ht="20.149999999999999" customHeight="1" x14ac:dyDescent="0.35">
      <c r="B8" s="40" t="s">
        <v>311</v>
      </c>
      <c r="C8" s="41" t="s">
        <v>312</v>
      </c>
      <c r="D8" s="42"/>
      <c r="E8" s="28"/>
    </row>
    <row r="9" spans="2:5" ht="30.5" customHeight="1" x14ac:dyDescent="0.35">
      <c r="B9" s="40" t="s">
        <v>313</v>
      </c>
      <c r="C9" s="41" t="s">
        <v>314</v>
      </c>
      <c r="D9" s="42"/>
      <c r="E9" s="28"/>
    </row>
    <row r="10" spans="2:5" ht="20.149999999999999" customHeight="1" x14ac:dyDescent="0.35">
      <c r="B10" s="40" t="s">
        <v>315</v>
      </c>
      <c r="C10" s="41" t="s">
        <v>316</v>
      </c>
      <c r="D10" s="42"/>
      <c r="E10" s="28"/>
    </row>
    <row r="11" spans="2:5" ht="20.149999999999999" customHeight="1" x14ac:dyDescent="0.35">
      <c r="B11" s="40" t="s">
        <v>317</v>
      </c>
      <c r="C11" s="41" t="s">
        <v>318</v>
      </c>
      <c r="D11" s="42"/>
      <c r="E11" s="28"/>
    </row>
    <row r="12" spans="2:5" ht="20.149999999999999" customHeight="1" x14ac:dyDescent="0.35">
      <c r="B12" s="40" t="s">
        <v>319</v>
      </c>
      <c r="C12" s="41" t="s">
        <v>320</v>
      </c>
      <c r="D12" s="42"/>
      <c r="E12" s="28"/>
    </row>
    <row r="13" spans="2:5" ht="20.149999999999999" customHeight="1" x14ac:dyDescent="0.35">
      <c r="B13" s="40" t="s">
        <v>321</v>
      </c>
      <c r="C13" s="41" t="s">
        <v>322</v>
      </c>
      <c r="D13" s="42"/>
      <c r="E13" s="28"/>
    </row>
    <row r="14" spans="2:5" ht="20.149999999999999" customHeight="1" x14ac:dyDescent="0.35">
      <c r="B14" s="40" t="s">
        <v>323</v>
      </c>
      <c r="C14" s="41" t="s">
        <v>324</v>
      </c>
      <c r="D14" s="42"/>
      <c r="E14" s="28"/>
    </row>
    <row r="15" spans="2:5" ht="20.149999999999999" customHeight="1" x14ac:dyDescent="0.35">
      <c r="B15" s="40" t="s">
        <v>325</v>
      </c>
      <c r="C15" s="41" t="s">
        <v>318</v>
      </c>
      <c r="D15" s="42"/>
      <c r="E15" s="28"/>
    </row>
    <row r="16" spans="2:5" ht="20.149999999999999" customHeight="1" x14ac:dyDescent="0.35">
      <c r="B16" s="40" t="s">
        <v>326</v>
      </c>
      <c r="C16" s="41" t="s">
        <v>318</v>
      </c>
      <c r="D16" s="42"/>
      <c r="E16" s="28"/>
    </row>
    <row r="17" spans="2:5" ht="20.149999999999999" customHeight="1" x14ac:dyDescent="0.35">
      <c r="B17" s="40" t="s">
        <v>327</v>
      </c>
      <c r="C17" s="41" t="s">
        <v>328</v>
      </c>
      <c r="D17" s="42"/>
      <c r="E17" s="28"/>
    </row>
    <row r="18" spans="2:5" ht="20.149999999999999" customHeight="1" x14ac:dyDescent="0.35">
      <c r="B18" s="40" t="s">
        <v>329</v>
      </c>
      <c r="C18" s="41" t="s">
        <v>330</v>
      </c>
      <c r="D18" s="42"/>
      <c r="E18" s="28"/>
    </row>
    <row r="19" spans="2:5" ht="20.149999999999999" customHeight="1" x14ac:dyDescent="0.35">
      <c r="B19" s="40" t="s">
        <v>331</v>
      </c>
      <c r="C19" s="41" t="s">
        <v>318</v>
      </c>
      <c r="D19" s="42"/>
      <c r="E19" s="28"/>
    </row>
    <row r="21" spans="2:5" x14ac:dyDescent="0.35">
      <c r="B21" s="1" t="s">
        <v>332</v>
      </c>
      <c r="C21" s="43" t="str">
        <f>COUNTIF(E7:E19,"SI")&amp;" de 13"</f>
        <v>0 de 13</v>
      </c>
    </row>
    <row r="22" spans="2:5" ht="24" customHeight="1" x14ac:dyDescent="0.35">
      <c r="B22" s="1" t="s">
        <v>333</v>
      </c>
      <c r="C22" s="44" t="str">
        <f>IF(COUNTIF(E7:E19,"&lt;&gt;")=0,"SIN EVALUAR",IF(COUNTIF(E7:E19,"NO")&gt;0,"NO APROBADO - "&amp;COUNTIF(E7:E19,"NO")&amp;" criterio(s) sin cumplir","APROBADO"))</f>
        <v>SIN EVALUAR</v>
      </c>
      <c r="D22" s="45"/>
      <c r="E22" s="45"/>
    </row>
    <row r="24" spans="2:5" x14ac:dyDescent="0.35">
      <c r="B24" s="9" t="s">
        <v>334</v>
      </c>
      <c r="C24" s="10"/>
    </row>
    <row r="25" spans="2:5" x14ac:dyDescent="0.35">
      <c r="B25" s="9" t="s">
        <v>335</v>
      </c>
      <c r="C25" s="10"/>
    </row>
    <row r="26" spans="2:5" x14ac:dyDescent="0.35">
      <c r="B26" s="9" t="s">
        <v>336</v>
      </c>
      <c r="C26" s="10"/>
    </row>
  </sheetData>
  <mergeCells count="3">
    <mergeCell ref="C22:E22"/>
    <mergeCell ref="B2:E2"/>
    <mergeCell ref="B4:E4"/>
  </mergeCells>
  <conditionalFormatting sqref="E7:E19">
    <cfRule type="cellIs" dxfId="1" priority="1" operator="equal">
      <formula>"SI"</formula>
    </cfRule>
    <cfRule type="cellIs" dxfId="0" priority="2" operator="equal">
      <formula>"NO"</formula>
    </cfRule>
  </conditionalFormatting>
  <dataValidations count="1">
    <dataValidation type="list" allowBlank="1" sqref="E7:E19" xr:uid="{00000000-0002-0000-06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M1 Unitarias</vt:lpstr>
      <vt:lpstr>M2 Integracion</vt:lpstr>
      <vt:lpstr>M3 Carga</vt:lpstr>
      <vt:lpstr>M4 Estres</vt:lpstr>
      <vt:lpstr>Resumen</vt:lpstr>
      <vt:lpstr>Criterios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DIANA LIZETH DELGADO SUAREZ</cp:lastModifiedBy>
  <dcterms:created xsi:type="dcterms:W3CDTF">2026-08-10T03:38:54Z</dcterms:created>
  <dcterms:modified xsi:type="dcterms:W3CDTF">2026-08-21T23:31:50Z</dcterms:modified>
</cp:coreProperties>
</file>