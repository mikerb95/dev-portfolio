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4" autoFilterDateGrouping="1"/>
  </bookViews>
  <sheets>
    <sheet xmlns:r="http://schemas.openxmlformats.org/officeDocument/2006/relationships" name="Instrucciones" sheetId="1" state="visible" r:id="rId1"/>
    <sheet xmlns:r="http://schemas.openxmlformats.org/officeDocument/2006/relationships" name="M1 Unitarias" sheetId="2" state="visible" r:id="rId2"/>
    <sheet xmlns:r="http://schemas.openxmlformats.org/officeDocument/2006/relationships" name="M2 Integracion" sheetId="3" state="visible" r:id="rId3"/>
    <sheet xmlns:r="http://schemas.openxmlformats.org/officeDocument/2006/relationships" name="M3 Carga" sheetId="4" state="visible" r:id="rId4"/>
    <sheet xmlns:r="http://schemas.openxmlformats.org/officeDocument/2006/relationships" name="M4 Estres" sheetId="5" state="visible" r:id="rId5"/>
    <sheet xmlns:r="http://schemas.openxmlformats.org/officeDocument/2006/relationships" name="Resumen" sheetId="6" state="visible" r:id="rId6"/>
    <sheet xmlns:r="http://schemas.openxmlformats.org/officeDocument/2006/relationships" name="Criterios" sheetId="7" state="visible" r:id="rId7"/>
  </sheets>
  <definedNames/>
  <calcPr calcId="191029" fullCalcOnLoad="1"/>
</workbook>
</file>

<file path=xl/styles.xml><?xml version="1.0" encoding="utf-8"?>
<styleSheet xmlns="http://schemas.openxmlformats.org/spreadsheetml/2006/main">
  <numFmts count="2">
    <numFmt numFmtId="164" formatCode="\+0.0%;\-0.0%;0.0%"/>
    <numFmt numFmtId="165" formatCode="0.0%"/>
  </numFmts>
  <fonts count="21">
    <font>
      <name val="Calibri"/>
      <family val="2"/>
      <color theme="1"/>
      <sz val="11"/>
      <scheme val="minor"/>
    </font>
    <font>
      <name val="Arial"/>
      <b val="1"/>
      <color rgb="FFFFFFFF"/>
      <sz val="15"/>
    </font>
    <font>
      <name val="Arial"/>
      <i val="1"/>
      <color rgb="FF808080"/>
      <sz val="10"/>
    </font>
    <font>
      <name val="Arial"/>
      <b val="1"/>
      <color rgb="FFFFFFFF"/>
      <sz val="11"/>
    </font>
    <font>
      <name val="Arial"/>
      <b val="1"/>
      <sz val="10"/>
    </font>
    <font>
      <name val="Arial"/>
      <sz val="10"/>
    </font>
    <font>
      <name val="Arial"/>
      <b val="1"/>
      <color rgb="FF808080"/>
      <sz val="10"/>
    </font>
    <font>
      <name val="Arial"/>
      <b val="1"/>
      <color rgb="FF006100"/>
      <sz val="10"/>
    </font>
    <font>
      <name val="Arial"/>
      <b val="1"/>
      <color rgb="FF9C0006"/>
      <sz val="10"/>
    </font>
    <font>
      <name val="Arial"/>
      <b val="1"/>
      <color rgb="FF7F5F00"/>
      <sz val="10"/>
    </font>
    <font>
      <name val="Arial"/>
      <b val="1"/>
      <color rgb="FF404040"/>
      <sz val="10"/>
    </font>
    <font>
      <name val="Arial"/>
      <b val="1"/>
      <color rgb="FF0000FF"/>
      <sz val="10"/>
    </font>
    <font>
      <name val="Arial"/>
      <b val="1"/>
      <color rgb="FFFFFFFF"/>
      <sz val="14"/>
    </font>
    <font>
      <name val="Arial"/>
      <b val="1"/>
      <color rgb="FF2E7D32"/>
      <sz val="10"/>
    </font>
    <font>
      <name val="Arial"/>
      <color rgb="FF0000FF"/>
      <sz val="10"/>
    </font>
    <font>
      <name val="Arial"/>
      <b val="1"/>
      <color rgb="FFFFFFFF"/>
      <sz val="10"/>
    </font>
    <font>
      <name val="Arial"/>
      <b val="1"/>
      <color rgb="FF7F5F00"/>
      <sz val="9"/>
    </font>
    <font>
      <name val="Arial"/>
      <i val="1"/>
      <color rgb="FF808080"/>
      <sz val="9"/>
    </font>
    <font>
      <name val="Arial"/>
      <b val="1"/>
      <color rgb="FF2E7D32"/>
      <sz val="11"/>
    </font>
    <font>
      <name val="Arial"/>
      <b val="1"/>
      <sz val="11"/>
    </font>
    <font>
      <name val="Arial"/>
      <b val="1"/>
      <color rgb="FF808080"/>
      <sz val="9"/>
    </font>
  </fonts>
  <fills count="11">
    <fill>
      <patternFill/>
    </fill>
    <fill>
      <patternFill patternType="gray125"/>
    </fill>
    <fill>
      <patternFill patternType="solid">
        <fgColor rgb="FF2E7D32"/>
      </patternFill>
    </fill>
    <fill>
      <patternFill patternType="solid">
        <fgColor rgb="FFFFF7E6"/>
      </patternFill>
    </fill>
    <fill>
      <patternFill patternType="solid">
        <fgColor rgb="FFC6EFCE"/>
      </patternFill>
    </fill>
    <fill>
      <patternFill patternType="solid">
        <fgColor rgb="FFFFC7CE"/>
      </patternFill>
    </fill>
    <fill>
      <patternFill patternType="solid">
        <fgColor rgb="FFFFEB9C"/>
      </patternFill>
    </fill>
    <fill>
      <patternFill patternType="solid">
        <fgColor rgb="FFD9D9D9"/>
      </patternFill>
    </fill>
    <fill>
      <patternFill patternType="solid">
        <fgColor rgb="FFFFF2CC"/>
      </patternFill>
    </fill>
    <fill>
      <patternFill patternType="solid">
        <fgColor rgb="FFEAF1FB"/>
      </patternFill>
    </fill>
    <fill>
      <patternFill patternType="solid">
        <fgColor rgb="FFF3F6F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57">
    <xf numFmtId="0" fontId="0" fillId="0" borderId="0" pivotButton="0" quotePrefix="0" xfId="0"/>
    <xf numFmtId="0" fontId="4" fillId="0" borderId="0" pivotButton="0" quotePrefix="0" xfId="0"/>
    <xf numFmtId="0" fontId="5" fillId="0" borderId="0" applyAlignment="1" pivotButton="0" quotePrefix="0" xfId="0">
      <alignment horizontal="left" vertical="center" wrapText="1"/>
    </xf>
    <xf numFmtId="0" fontId="11" fillId="0" borderId="0" pivotButton="0" quotePrefix="0" xfId="0"/>
    <xf numFmtId="0" fontId="6" fillId="3" borderId="0" pivotButton="0" quotePrefix="0" xfId="0"/>
    <xf numFmtId="0" fontId="7" fillId="4" borderId="0" pivotButton="0" quotePrefix="0" xfId="0"/>
    <xf numFmtId="0" fontId="8" fillId="5" borderId="0" pivotButton="0" quotePrefix="0" xfId="0"/>
    <xf numFmtId="0" fontId="9" fillId="6" borderId="0" pivotButton="0" quotePrefix="0" xfId="0"/>
    <xf numFmtId="0" fontId="10" fillId="7" borderId="0" pivotButton="0" quotePrefix="0" xfId="0"/>
    <xf numFmtId="0" fontId="13" fillId="0" borderId="0" pivotButton="0" quotePrefix="0" xfId="0"/>
    <xf numFmtId="0" fontId="14" fillId="9" borderId="1" pivotButton="0" quotePrefix="0" xfId="0"/>
    <xf numFmtId="0" fontId="15" fillId="2" borderId="1" applyAlignment="1" pivotButton="0" quotePrefix="0" xfId="0">
      <alignment horizontal="center" vertical="center" wrapText="1"/>
    </xf>
    <xf numFmtId="0" fontId="17" fillId="3" borderId="1" applyAlignment="1" pivotButton="0" quotePrefix="0" xfId="0">
      <alignment horizontal="center" vertical="center" wrapText="1"/>
    </xf>
    <xf numFmtId="0" fontId="17" fillId="3" borderId="1" applyAlignment="1" pivotButton="0" quotePrefix="0" xfId="0">
      <alignment vertical="center" wrapText="1"/>
    </xf>
    <xf numFmtId="0" fontId="5" fillId="10" borderId="1" applyAlignment="1" pivotButton="0" quotePrefix="0" xfId="0">
      <alignment horizontal="center" vertical="center" wrapText="1"/>
    </xf>
    <xf numFmtId="0" fontId="5" fillId="10" borderId="1" applyAlignment="1" pivotButton="0" quotePrefix="0" xfId="0">
      <alignment vertical="center" wrapText="1"/>
    </xf>
    <xf numFmtId="0" fontId="14" fillId="10" borderId="1" applyAlignment="1" pivotButton="0" quotePrefix="0" xfId="0">
      <alignment vertical="center" wrapText="1"/>
    </xf>
    <xf numFmtId="0" fontId="5" fillId="0" borderId="1" applyAlignment="1" pivotButton="0" quotePrefix="0" xfId="0">
      <alignment horizontal="center" vertical="center" wrapText="1"/>
    </xf>
    <xf numFmtId="0" fontId="5" fillId="0" borderId="1" applyAlignment="1" pivotButton="0" quotePrefix="0" xfId="0">
      <alignment vertical="center" wrapText="1"/>
    </xf>
    <xf numFmtId="0" fontId="14" fillId="0" borderId="1" applyAlignment="1" pivotButton="0" quotePrefix="0" xfId="0">
      <alignment vertical="center" wrapText="1"/>
    </xf>
    <xf numFmtId="164" fontId="17" fillId="3" borderId="1" applyAlignment="1" pivotButton="0" quotePrefix="0" xfId="0">
      <alignment horizontal="center" vertical="center" wrapText="1"/>
    </xf>
    <xf numFmtId="164" fontId="5" fillId="10" borderId="1" applyAlignment="1" pivotButton="0" quotePrefix="0" xfId="0">
      <alignment horizontal="center" vertical="center" wrapText="1"/>
    </xf>
    <xf numFmtId="164" fontId="5" fillId="0" borderId="1" applyAlignment="1" pivotButton="0" quotePrefix="0" xfId="0">
      <alignment horizontal="center" vertical="center" wrapText="1"/>
    </xf>
    <xf numFmtId="3" fontId="17" fillId="3" borderId="1" applyAlignment="1" pivotButton="0" quotePrefix="0" xfId="0">
      <alignment horizontal="center" vertical="center" wrapText="1"/>
    </xf>
    <xf numFmtId="2" fontId="17" fillId="3" borderId="1" applyAlignment="1" pivotButton="0" quotePrefix="0" xfId="0">
      <alignment horizontal="center" vertical="center" wrapText="1"/>
    </xf>
    <xf numFmtId="0" fontId="14" fillId="10" borderId="1" applyAlignment="1" pivotButton="0" quotePrefix="0" xfId="0">
      <alignment horizontal="center" vertical="center" wrapText="1"/>
    </xf>
    <xf numFmtId="3" fontId="14" fillId="10" borderId="1" applyAlignment="1" pivotButton="0" quotePrefix="0" xfId="0">
      <alignment horizontal="center" vertical="center" wrapText="1"/>
    </xf>
    <xf numFmtId="2" fontId="14" fillId="10" borderId="1" applyAlignment="1" pivotButton="0" quotePrefix="0" xfId="0">
      <alignment horizontal="center" vertical="center" wrapText="1"/>
    </xf>
    <xf numFmtId="0" fontId="14" fillId="0" borderId="1" applyAlignment="1" pivotButton="0" quotePrefix="0" xfId="0">
      <alignment horizontal="center" vertical="center" wrapText="1"/>
    </xf>
    <xf numFmtId="3" fontId="14" fillId="0" borderId="1" applyAlignment="1" pivotButton="0" quotePrefix="0" xfId="0">
      <alignment horizontal="center" vertical="center" wrapText="1"/>
    </xf>
    <xf numFmtId="2" fontId="14" fillId="0" borderId="1" applyAlignment="1" pivotButton="0" quotePrefix="0" xfId="0">
      <alignment horizontal="center" vertical="center" wrapText="1"/>
    </xf>
    <xf numFmtId="3" fontId="14" fillId="0" borderId="1" applyAlignment="1" pivotButton="0" quotePrefix="0" xfId="0">
      <alignment vertical="center" wrapText="1"/>
    </xf>
    <xf numFmtId="2" fontId="14" fillId="0" borderId="1" applyAlignment="1" pivotButton="0" quotePrefix="0" xfId="0">
      <alignment vertical="center" wrapText="1"/>
    </xf>
    <xf numFmtId="0" fontId="18" fillId="0" borderId="0" pivotButton="0" quotePrefix="0" xfId="0"/>
    <xf numFmtId="0" fontId="4" fillId="0" borderId="1" applyAlignment="1" pivotButton="0" quotePrefix="0" xfId="0">
      <alignment horizontal="left" vertical="center" wrapText="1"/>
    </xf>
    <xf numFmtId="165" fontId="5" fillId="0" borderId="1" applyAlignment="1" pivotButton="0" quotePrefix="0" xfId="0">
      <alignment horizontal="center" vertical="center" wrapText="1"/>
    </xf>
    <xf numFmtId="0" fontId="15" fillId="2" borderId="1" applyAlignment="1" pivotButton="0" quotePrefix="0" xfId="0">
      <alignment horizontal="left" vertical="center" wrapText="1"/>
    </xf>
    <xf numFmtId="165" fontId="15" fillId="2" borderId="1" applyAlignment="1" pivotButton="0" quotePrefix="0" xfId="0">
      <alignment horizontal="center" vertical="center" wrapText="1"/>
    </xf>
    <xf numFmtId="0" fontId="20" fillId="0" borderId="0" applyAlignment="1" pivotButton="0" quotePrefix="0" xfId="0">
      <alignment horizontal="center" vertical="center" wrapText="1"/>
    </xf>
    <xf numFmtId="165" fontId="0"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14" fillId="9" borderId="1" applyAlignment="1" pivotButton="0" quotePrefix="0" xfId="0">
      <alignment horizontal="center" vertical="center" wrapText="1"/>
    </xf>
    <xf numFmtId="0" fontId="1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19" fillId="8" borderId="1" applyAlignment="1" pivotButton="0" quotePrefix="0" xfId="0">
      <alignment horizontal="left" vertical="center" wrapText="1"/>
    </xf>
    <xf numFmtId="0" fontId="0" fillId="0" borderId="0" pivotButton="0" quotePrefix="0" xfId="0"/>
    <xf numFmtId="0" fontId="12" fillId="2" borderId="0" applyAlignment="1" pivotButton="0" quotePrefix="0" xfId="0">
      <alignment horizontal="left" vertical="center" wrapText="1"/>
    </xf>
    <xf numFmtId="0" fontId="17" fillId="0" borderId="0" pivotButton="0" quotePrefix="0" xfId="0"/>
    <xf numFmtId="0" fontId="3" fillId="2" borderId="0" applyAlignment="1" pivotButton="0" quotePrefix="0" xfId="0">
      <alignment horizontal="left" vertical="center" wrapText="1"/>
    </xf>
    <xf numFmtId="0" fontId="9" fillId="8" borderId="1" applyAlignment="1" pivotButton="0" quotePrefix="0" xfId="0">
      <alignment horizontal="left" vertical="center" wrapText="1"/>
    </xf>
    <xf numFmtId="0" fontId="1" fillId="2" borderId="0" applyAlignment="1" pivotButton="0" quotePrefix="0" xfId="0">
      <alignment horizontal="left" vertical="center" wrapText="1"/>
    </xf>
    <xf numFmtId="0" fontId="2" fillId="0" borderId="0" pivotButton="0" quotePrefix="0" xfId="0"/>
    <xf numFmtId="0" fontId="16" fillId="8" borderId="1" applyAlignment="1" pivotButton="0" quotePrefix="0" xfId="0">
      <alignment horizontal="left" vertical="center" wrapText="1"/>
    </xf>
    <xf numFmtId="0" fontId="14" fillId="0" borderId="1" applyAlignment="1" pivotButton="0" quotePrefix="0" xfId="0">
      <alignment vertical="center" wrapText="1"/>
    </xf>
    <xf numFmtId="0" fontId="15" fillId="2" borderId="1" applyAlignment="1" pivotButton="0" quotePrefix="0" xfId="0">
      <alignment horizontal="center" vertical="center" wrapText="1"/>
    </xf>
    <xf numFmtId="0" fontId="0" fillId="0" borderId="2" pivotButton="0" quotePrefix="0" xfId="0"/>
    <xf numFmtId="0" fontId="0" fillId="0" borderId="3" pivotButton="0" quotePrefix="0" xfId="0"/>
  </cellXfs>
  <cellStyles count="1">
    <cellStyle name="Normal" xfId="0" builtinId="0"/>
  </cellStyles>
  <dxfs count="20">
    <dxf>
      <font>
        <name val="Arial"/>
        <b val="1"/>
        <color rgb="FF9C0006"/>
        <sz val="10"/>
      </font>
      <fill>
        <patternFill patternType="solid">
          <fgColor rgb="FFFFC7CE"/>
        </patternFill>
      </fill>
    </dxf>
    <dxf>
      <font>
        <name val="Arial"/>
        <b val="1"/>
        <color rgb="FF006100"/>
        <sz val="10"/>
      </font>
      <fill>
        <patternFill patternType="solid">
          <fgColor rgb="FFC6EFCE"/>
        </patternFill>
      </fill>
    </dxf>
    <dxf>
      <font>
        <name val="Arial"/>
        <b val="1"/>
        <color rgb="FF404040"/>
        <sz val="10"/>
      </font>
      <fill>
        <patternFill patternType="solid">
          <fgColor rgb="FFD9D9D9"/>
        </patternFill>
      </fill>
    </dxf>
    <dxf>
      <font>
        <name val="Arial"/>
        <b val="1"/>
        <color rgb="FF7F5F00"/>
        <sz val="10"/>
      </font>
      <fill>
        <patternFill patternType="solid">
          <fgColor rgb="FFFFEB9C"/>
        </patternFill>
      </fill>
    </dxf>
    <dxf>
      <font>
        <name val="Arial"/>
        <b val="1"/>
        <color rgb="FF9C0006"/>
        <sz val="10"/>
      </font>
      <fill>
        <patternFill patternType="solid">
          <fgColor rgb="FFFFC7CE"/>
        </patternFill>
      </fill>
    </dxf>
    <dxf>
      <font>
        <name val="Arial"/>
        <b val="1"/>
        <color rgb="FF006100"/>
        <sz val="10"/>
      </font>
      <fill>
        <patternFill patternType="solid">
          <fgColor rgb="FFC6EFCE"/>
        </patternFill>
      </fill>
    </dxf>
    <dxf>
      <font>
        <name val="Arial"/>
        <b val="1"/>
        <color rgb="FF404040"/>
        <sz val="10"/>
      </font>
      <fill>
        <patternFill patternType="solid">
          <fgColor rgb="FFD9D9D9"/>
        </patternFill>
      </fill>
    </dxf>
    <dxf>
      <font>
        <name val="Arial"/>
        <b val="1"/>
        <color rgb="FF7F5F00"/>
        <sz val="10"/>
      </font>
      <fill>
        <patternFill patternType="solid">
          <fgColor rgb="FFFFEB9C"/>
        </patternFill>
      </fill>
    </dxf>
    <dxf>
      <font>
        <name val="Arial"/>
        <b val="1"/>
        <color rgb="FF9C0006"/>
        <sz val="10"/>
      </font>
      <fill>
        <patternFill patternType="solid">
          <fgColor rgb="FFFFC7CE"/>
        </patternFill>
      </fill>
    </dxf>
    <dxf>
      <font>
        <name val="Arial"/>
        <b val="1"/>
        <color rgb="FF006100"/>
        <sz val="10"/>
      </font>
      <fill>
        <patternFill patternType="solid">
          <fgColor rgb="FFC6EFCE"/>
        </patternFill>
      </fill>
    </dxf>
    <dxf>
      <font>
        <name val="Arial"/>
        <b val="1"/>
        <color rgb="FF9C0006"/>
        <sz val="10"/>
      </font>
      <fill>
        <patternFill patternType="solid">
          <fgColor rgb="FFFFC7CE"/>
        </patternFill>
      </fill>
    </dxf>
    <dxf>
      <font>
        <name val="Arial"/>
        <b val="1"/>
        <color rgb="FF006100"/>
        <sz val="10"/>
      </font>
      <fill>
        <patternFill patternType="solid">
          <fgColor rgb="FFC6EFCE"/>
        </patternFill>
      </fill>
    </dxf>
    <dxf>
      <font>
        <name val="Arial"/>
        <b val="1"/>
        <color rgb="FF404040"/>
        <sz val="10"/>
      </font>
      <fill>
        <patternFill patternType="solid">
          <fgColor rgb="FFD9D9D9"/>
        </patternFill>
      </fill>
    </dxf>
    <dxf>
      <font>
        <name val="Arial"/>
        <b val="1"/>
        <color rgb="FF7F5F00"/>
        <sz val="10"/>
      </font>
      <fill>
        <patternFill patternType="solid">
          <fgColor rgb="FFFFEB9C"/>
        </patternFill>
      </fill>
    </dxf>
    <dxf>
      <font>
        <name val="Arial"/>
        <b val="1"/>
        <color rgb="FF9C0006"/>
        <sz val="10"/>
      </font>
      <fill>
        <patternFill patternType="solid">
          <fgColor rgb="FFFFC7CE"/>
        </patternFill>
      </fill>
    </dxf>
    <dxf>
      <font>
        <name val="Arial"/>
        <b val="1"/>
        <color rgb="FF006100"/>
        <sz val="10"/>
      </font>
      <fill>
        <patternFill patternType="solid">
          <fgColor rgb="FFC6EFCE"/>
        </patternFill>
      </fill>
    </dxf>
    <dxf>
      <font>
        <name val="Arial"/>
        <b val="1"/>
        <color rgb="FF404040"/>
        <sz val="10"/>
      </font>
      <fill>
        <patternFill patternType="solid">
          <fgColor rgb="FFD9D9D9"/>
        </patternFill>
      </fill>
    </dxf>
    <dxf>
      <font>
        <name val="Arial"/>
        <b val="1"/>
        <color rgb="FF7F5F00"/>
        <sz val="10"/>
      </font>
      <fill>
        <patternFill patternType="solid">
          <fgColor rgb="FFFFEB9C"/>
        </patternFill>
      </fill>
    </dxf>
    <dxf>
      <font>
        <name val="Arial"/>
        <b val="1"/>
        <color rgb="FF9C0006"/>
        <sz val="10"/>
      </font>
      <fill>
        <patternFill patternType="solid">
          <fgColor rgb="FFFFC7CE"/>
        </patternFill>
      </fill>
    </dxf>
    <dxf>
      <font>
        <name val="Arial"/>
        <b val="1"/>
        <color rgb="FF006100"/>
        <sz val="10"/>
      </font>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CO"/>
              <a:t>Resultados por tipo de prueba</a:t>
            </a:r>
          </a:p>
        </rich>
      </tx>
      <overlay val="1"/>
    </title>
    <plotArea>
      <layout/>
      <barChart>
        <barDir val="col"/>
        <grouping val="clustered"/>
        <varyColors val="1"/>
        <ser>
          <idx val="0"/>
          <order val="0"/>
          <tx>
            <strRef>
              <f>Resumen!$C$6</f>
              <strCache>
                <ptCount val="1"/>
                <pt idx="0">
                  <v>Aprobadas</v>
                </pt>
              </strCache>
            </strRef>
          </tx>
          <spPr>
            <a:ln xmlns:a="http://schemas.openxmlformats.org/drawingml/2006/main">
              <a:prstDash val="solid"/>
            </a:ln>
          </spPr>
          <invertIfNegative val="1"/>
          <cat>
            <strRef>
              <f>Resumen!$B$7:$B$10</f>
              <strCache>
                <ptCount val="4"/>
                <pt idx="0">
                  <v>Pruebas unitarias</v>
                </pt>
                <pt idx="1">
                  <v>Pruebas de integración</v>
                </pt>
                <pt idx="2">
                  <v>Pruebas de carga</v>
                </pt>
                <pt idx="3">
                  <v>Pruebas de estrés</v>
                </pt>
              </strCache>
            </strRef>
          </cat>
          <val>
            <numRef>
              <f>Resumen!$C$7:$C$10</f>
              <numCache>
                <formatCode>General</formatCode>
                <ptCount val="4"/>
                <pt idx="0">
                  <v>0</v>
                </pt>
                <pt idx="1">
                  <v>0</v>
                </pt>
                <pt idx="2">
                  <v>0</v>
                </pt>
                <pt idx="3">
                  <v>0</v>
                </pt>
              </numCache>
            </numRef>
          </val>
        </ser>
        <ser>
          <idx val="1"/>
          <order val="1"/>
          <tx>
            <strRef>
              <f>Resumen!$D$6</f>
              <strCache>
                <ptCount val="1"/>
                <pt idx="0">
                  <v>Observación</v>
                </pt>
              </strCache>
            </strRef>
          </tx>
          <spPr>
            <a:ln xmlns:a="http://schemas.openxmlformats.org/drawingml/2006/main">
              <a:prstDash val="solid"/>
            </a:ln>
          </spPr>
          <invertIfNegative val="1"/>
          <cat>
            <strRef>
              <f>Resumen!$B$7:$B$10</f>
              <strCache>
                <ptCount val="4"/>
                <pt idx="0">
                  <v>Pruebas unitarias</v>
                </pt>
                <pt idx="1">
                  <v>Pruebas de integración</v>
                </pt>
                <pt idx="2">
                  <v>Pruebas de carga</v>
                </pt>
                <pt idx="3">
                  <v>Pruebas de estrés</v>
                </pt>
              </strCache>
            </strRef>
          </cat>
          <val>
            <numRef>
              <f>Resumen!$D$7:$D$10</f>
              <numCache>
                <formatCode>General</formatCode>
                <ptCount val="4"/>
                <pt idx="0">
                  <v>0</v>
                </pt>
                <pt idx="1">
                  <v>0</v>
                </pt>
                <pt idx="2">
                  <v>0</v>
                </pt>
                <pt idx="3">
                  <v>0</v>
                </pt>
              </numCache>
            </numRef>
          </val>
        </ser>
        <ser>
          <idx val="2"/>
          <order val="2"/>
          <tx>
            <strRef>
              <f>Resumen!$E$6</f>
              <strCache>
                <ptCount val="1"/>
                <pt idx="0">
                  <v>Fallidas</v>
                </pt>
              </strCache>
            </strRef>
          </tx>
          <spPr>
            <a:ln xmlns:a="http://schemas.openxmlformats.org/drawingml/2006/main">
              <a:prstDash val="solid"/>
            </a:ln>
          </spPr>
          <invertIfNegative val="1"/>
          <cat>
            <strRef>
              <f>Resumen!$B$7:$B$10</f>
              <strCache>
                <ptCount val="4"/>
                <pt idx="0">
                  <v>Pruebas unitarias</v>
                </pt>
                <pt idx="1">
                  <v>Pruebas de integración</v>
                </pt>
                <pt idx="2">
                  <v>Pruebas de carga</v>
                </pt>
                <pt idx="3">
                  <v>Pruebas de estrés</v>
                </pt>
              </strCache>
            </strRef>
          </cat>
          <val>
            <numRef>
              <f>Resumen!$E$7:$E$10</f>
              <numCache>
                <formatCode>General</formatCode>
                <ptCount val="4"/>
                <pt idx="0">
                  <v>0</v>
                </pt>
                <pt idx="1">
                  <v>0</v>
                </pt>
                <pt idx="2">
                  <v>0</v>
                </pt>
                <pt idx="3">
                  <v>0</v>
                </pt>
              </numCache>
            </numRef>
          </val>
        </ser>
        <ser>
          <idx val="3"/>
          <order val="3"/>
          <tx>
            <strRef>
              <f>Resumen!$F$6</f>
              <strCache>
                <ptCount val="1"/>
                <pt idx="0">
                  <v>Bloqueadas</v>
                </pt>
              </strCache>
            </strRef>
          </tx>
          <spPr>
            <a:ln xmlns:a="http://schemas.openxmlformats.org/drawingml/2006/main">
              <a:prstDash val="solid"/>
            </a:ln>
          </spPr>
          <invertIfNegative val="1"/>
          <cat>
            <strRef>
              <f>Resumen!$B$7:$B$10</f>
              <strCache>
                <ptCount val="4"/>
                <pt idx="0">
                  <v>Pruebas unitarias</v>
                </pt>
                <pt idx="1">
                  <v>Pruebas de integración</v>
                </pt>
                <pt idx="2">
                  <v>Pruebas de carga</v>
                </pt>
                <pt idx="3">
                  <v>Pruebas de estrés</v>
                </pt>
              </strCache>
            </strRef>
          </cat>
          <val>
            <numRef>
              <f>Resumen!$F$7:$F$10</f>
              <numCache>
                <formatCode>General</formatCode>
                <ptCount val="4"/>
                <pt idx="0">
                  <v>0</v>
                </pt>
                <pt idx="1">
                  <v>0</v>
                </pt>
                <pt idx="2">
                  <v>0</v>
                </pt>
                <pt idx="3">
                  <v>0</v>
                </pt>
              </numCache>
            </numRef>
          </val>
        </ser>
        <dLbls>
          <showLegendKey val="0"/>
          <showVal val="0"/>
          <showCatName val="0"/>
          <showSerName val="0"/>
          <showPercent val="0"/>
          <showBubbleSize val="0"/>
        </dLbls>
        <gapWidth val="15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es-CO"/>
                  <a:t>Casos</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17</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C38"/>
  <sheetViews>
    <sheetView showGridLines="0" workbookViewId="0">
      <selection activeCell="A1" sqref="A1"/>
    </sheetView>
  </sheetViews>
  <sheetFormatPr baseColWidth="10" defaultColWidth="9.1796875" defaultRowHeight="14.5"/>
  <cols>
    <col width="3" customWidth="1" style="45" min="1" max="1"/>
    <col width="32" customWidth="1" style="45" min="2" max="2"/>
    <col width="96" customWidth="1" style="45" min="3" max="3"/>
  </cols>
  <sheetData>
    <row r="2" ht="30" customHeight="1" s="45">
      <c r="B2" s="50" t="inlineStr">
        <is>
          <t>MATRIZ DE RESULTADOS DE PRUEBAS · PORTFOLIO (codebymike.tech)</t>
        </is>
      </c>
    </row>
    <row r="4">
      <c r="B4" s="51" t="inlineStr">
        <is>
          <t>Documento complementario de docs/plan-pruebas-sena.docx. Adaptado del formato original (proyecto Java "clasedominio") a este repo: Astro 7 SSR + Turso/libSQL + Drizzle, con Vitest, Playwright y k6.</t>
        </is>
      </c>
    </row>
    <row r="6" ht="20.15" customHeight="1" s="45">
      <c r="B6" s="48" t="inlineStr">
        <is>
          <t>Hojas del libro</t>
        </is>
      </c>
    </row>
    <row r="7" ht="15" customHeight="1" s="45">
      <c r="B7" s="1" t="inlineStr">
        <is>
          <t>M1 Unitarias</t>
        </is>
      </c>
      <c r="C7" s="2" t="inlineStr">
        <is>
          <t>Casos PU-01 a PU-10. Se llenan con la corrida real de `npx vitest run` sobre tests/*.test.ts.</t>
        </is>
      </c>
    </row>
    <row r="8" ht="15" customHeight="1" s="45">
      <c r="B8" s="1" t="inlineStr">
        <is>
          <t>M2 Integracion</t>
        </is>
      </c>
      <c r="C8" s="2" t="inlineStr">
        <is>
          <t>Casos PI-01 a PI-12. Se llenan con la corrida real de `npx playwright test` sobre e2e/*.spec.ts (no hay una capa de integración separada en este repo: los flujos completos HTTP+BD+UI se prueban con Playwright, ver CLAUDE.md).</t>
        </is>
      </c>
    </row>
    <row r="9" ht="15" customHeight="1" s="45">
      <c r="B9" s="1" t="inlineStr">
        <is>
          <t>M3 Carga</t>
        </is>
      </c>
      <c r="C9" s="2" t="inlineStr">
        <is>
          <t>Casos PC-01 a PC-10. Se llenan con el JSON de salida de `k6 run lab/k6/carga.js` (lab/k6/resultados/).</t>
        </is>
      </c>
    </row>
    <row r="10" ht="15" customHeight="1" s="45">
      <c r="B10" s="1" t="inlineStr">
        <is>
          <t>M4 Estres</t>
        </is>
      </c>
      <c r="C10" s="2" t="inlineStr">
        <is>
          <t>Escalones E1 a E6 más el escalón de recuperación, y la lista de hallazgos, desde `k6 run lab/k6/estres.js` (lab/k6/resultados/).</t>
        </is>
      </c>
    </row>
    <row r="11" ht="15" customHeight="1" s="45">
      <c r="B11" s="1" t="inlineStr">
        <is>
          <t>Resumen</t>
        </is>
      </c>
      <c r="C11" s="2" t="inlineStr">
        <is>
          <t>Se calcula solo con fórmulas y emite el dictamen. No escribir nada en esta hoja.</t>
        </is>
      </c>
    </row>
    <row r="12" ht="15" customHeight="1" s="45">
      <c r="B12" s="1" t="inlineStr">
        <is>
          <t>Criterios</t>
        </is>
      </c>
      <c r="C12" s="2" t="inlineStr">
        <is>
          <t>Umbrales pactados frente a resultados. Solo se editan los umbrales y el resultado.</t>
        </is>
      </c>
    </row>
    <row r="14" ht="20.15" customHeight="1" s="45">
      <c r="B14" s="48" t="inlineStr">
        <is>
          <t>Cómo se usa</t>
        </is>
      </c>
    </row>
    <row r="15" ht="15" customHeight="1" s="45">
      <c r="B15" s="1" t="inlineStr">
        <is>
          <t>1. Ya está preparado</t>
        </is>
      </c>
      <c r="C15" s="2" t="inlineStr">
        <is>
          <t>Las columnas ID, Requisito, Elemento, Caso de prueba, Entrada y Resultado esperado vienen escritas: son la planeación, que se define ANTES de ejecutar.</t>
        </is>
      </c>
    </row>
    <row r="16" ht="15" customHeight="1" s="45">
      <c r="B16" s="1" t="inlineStr">
        <is>
          <t>2. Ejecute las pruebas</t>
        </is>
      </c>
      <c r="C16" s="2" t="inlineStr">
        <is>
          <t>Siga los pasos de la guía y ejecute mvnw.cmd test, mvnw.cmd verify y JMeter.</t>
        </is>
      </c>
    </row>
    <row r="17" ht="15" customHeight="1" s="45">
      <c r="B17" s="1" t="inlineStr">
        <is>
          <t>3. Llene lo azul</t>
        </is>
      </c>
      <c r="C17" s="2" t="inlineStr">
        <is>
          <t>Escriba el Resultado obtenido copiándolo del informe, nunca de memoria.</t>
        </is>
      </c>
    </row>
    <row r="18" ht="15" customHeight="1" s="45">
      <c r="B18" s="1" t="inlineStr">
        <is>
          <t>4. Elija el estado</t>
        </is>
      </c>
      <c r="C18" s="2" t="inlineStr">
        <is>
          <t>Use la lista desplegable de la columna Estado. El color se aplica solo.</t>
        </is>
      </c>
    </row>
    <row r="19" ht="15" customHeight="1" s="45">
      <c r="B19" s="1" t="inlineStr">
        <is>
          <t>5. Registre defectos</t>
        </is>
      </c>
      <c r="C19" s="2" t="inlineStr">
        <is>
          <t>Si un caso falla, anote el identificador del reporte y la ruta de la evidencia.</t>
        </is>
      </c>
    </row>
    <row r="20" ht="15" customHeight="1" s="45">
      <c r="B20" s="1" t="inlineStr">
        <is>
          <t>6. Firme</t>
        </is>
      </c>
      <c r="C20" s="2" t="inlineStr">
        <is>
          <t>Complete la cabecera de cada hoja: versión, entorno, fecha y responsable.</t>
        </is>
      </c>
    </row>
    <row r="22" ht="20.15" customHeight="1" s="45">
      <c r="B22" s="48" t="inlineStr">
        <is>
          <t>Convención de colores</t>
        </is>
      </c>
    </row>
    <row r="23" ht="15" customHeight="1" s="45">
      <c r="B23" s="3" t="inlineStr">
        <is>
          <t>Texto azul</t>
        </is>
      </c>
      <c r="C23" s="2" t="inlineStr">
        <is>
          <t>Celda que debe llenar usted.</t>
        </is>
      </c>
    </row>
    <row r="24" ht="15" customHeight="1" s="45">
      <c r="B24" s="1" t="inlineStr">
        <is>
          <t>Texto negro</t>
        </is>
      </c>
      <c r="C24" s="2" t="inlineStr">
        <is>
          <t>Dato ya escrito o fórmula calculada. No lo sobrescriba.</t>
        </is>
      </c>
    </row>
    <row r="25" ht="15" customHeight="1" s="45">
      <c r="B25" s="4" t="inlineStr">
        <is>
          <t>Fondo crema</t>
        </is>
      </c>
      <c r="C25" s="2" t="inlineStr">
        <is>
          <t>Fila de EJEMPLO. Muestra el formato esperado. Bórrela cuando escriba sus datos.</t>
        </is>
      </c>
    </row>
    <row r="26" ht="15" customHeight="1" s="45">
      <c r="B26" s="5" t="inlineStr">
        <is>
          <t>Fondo verde</t>
        </is>
      </c>
      <c r="C26" s="2" t="inlineStr">
        <is>
          <t>APROBADA · el resultado obtenido coincide con el esperado.</t>
        </is>
      </c>
    </row>
    <row r="27" ht="15" customHeight="1" s="45">
      <c r="B27" s="6" t="inlineStr">
        <is>
          <t>Fondo rojo</t>
        </is>
      </c>
      <c r="C27" s="2" t="inlineStr">
        <is>
          <t>FALLIDA · difiere del esperado. Abra un reporte de defecto.</t>
        </is>
      </c>
    </row>
    <row r="28" ht="15" customHeight="1" s="45">
      <c r="B28" s="7" t="inlineStr">
        <is>
          <t>Fondo amarillo</t>
        </is>
      </c>
      <c r="C28" s="2" t="inlineStr">
        <is>
          <t>OBSERVACION · cumple, pero con margen estrecho o con un hallazgo anexo.</t>
        </is>
      </c>
    </row>
    <row r="29" ht="15" customHeight="1" s="45">
      <c r="B29" s="8" t="inlineStr">
        <is>
          <t>Fondo gris</t>
        </is>
      </c>
      <c r="C29" s="2" t="inlineStr">
        <is>
          <t>BLOQUEADA · no se pudo ejecutar por un impedimento externo.</t>
        </is>
      </c>
    </row>
    <row r="31" ht="20.15" customHeight="1" s="45">
      <c r="B31" s="48" t="inlineStr">
        <is>
          <t>Prefijos de identificador</t>
        </is>
      </c>
    </row>
    <row r="32" ht="15" customHeight="1" s="45">
      <c r="B32" s="1" t="inlineStr">
        <is>
          <t>PU-nn</t>
        </is>
      </c>
      <c r="C32" s="2" t="inlineStr">
        <is>
          <t>Prueba unitaria · clases que terminan en Test</t>
        </is>
      </c>
    </row>
    <row r="33" ht="15" customHeight="1" s="45">
      <c r="B33" s="1" t="inlineStr">
        <is>
          <t>PI-nn</t>
        </is>
      </c>
      <c r="C33" s="2" t="inlineStr">
        <is>
          <t>Prueba de integración · clases que terminan en IT</t>
        </is>
      </c>
    </row>
    <row r="34" ht="15" customHeight="1" s="45">
      <c r="B34" s="1" t="inlineStr">
        <is>
          <t>PC-nn</t>
        </is>
      </c>
      <c r="C34" s="2" t="inlineStr">
        <is>
          <t>Prueba de carga · JMeter</t>
        </is>
      </c>
    </row>
    <row r="35" ht="15" customHeight="1" s="45">
      <c r="B35" s="1" t="inlineStr">
        <is>
          <t>En / R</t>
        </is>
      </c>
      <c r="C35" s="2" t="inlineStr">
        <is>
          <t>Escalón n de la prueba de estrés · R es el escalón de recuperación</t>
        </is>
      </c>
    </row>
    <row r="36" ht="15" customHeight="1" s="45">
      <c r="B36" s="1" t="inlineStr">
        <is>
          <t>BUG-nn</t>
        </is>
      </c>
      <c r="C36" s="2" t="inlineStr">
        <is>
          <t>Reporte de defecto abierto a partir de un caso fallido</t>
        </is>
      </c>
    </row>
    <row r="38" ht="30" customHeight="1" s="45">
      <c r="B38" s="49" t="inlineStr">
        <is>
          <t>Regla de oro: el resultado esperado se define ANTES de ejecutar la prueba. Escribirlo después de ver el obtenido anula por completo el valor de la prueba.</t>
        </is>
      </c>
      <c r="C38" s="56" t="n"/>
    </row>
  </sheetData>
  <mergeCells count="7">
    <mergeCell ref="B6:C6"/>
    <mergeCell ref="B38:C38"/>
    <mergeCell ref="B2:C2"/>
    <mergeCell ref="B22:C22"/>
    <mergeCell ref="B14:C14"/>
    <mergeCell ref="B31:C31"/>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7"/>
  <sheetViews>
    <sheetView workbookViewId="0">
      <pane ySplit="7" topLeftCell="A8" activePane="bottomLeft" state="frozen"/>
      <selection pane="bottomLeft" activeCell="H8" sqref="H8"/>
    </sheetView>
  </sheetViews>
  <sheetFormatPr baseColWidth="10" defaultColWidth="9.1796875" defaultRowHeight="14.5"/>
  <cols>
    <col width="8" customWidth="1" style="45" min="1" max="1"/>
    <col width="11" customWidth="1" style="45" min="2" max="2"/>
    <col width="27" customWidth="1" style="45" min="3" max="3"/>
    <col width="40" customWidth="1" style="45" min="4" max="4"/>
    <col width="30" customWidth="1" style="45" min="5" max="5"/>
    <col width="34" customWidth="1" style="45" min="6" max="6"/>
    <col width="30" customWidth="1" style="45" min="7" max="7"/>
    <col width="14" customWidth="1" style="45" min="8" max="8"/>
    <col width="10" customWidth="1" style="45" min="9" max="9"/>
    <col width="26" customWidth="1" style="45" min="10" max="10"/>
  </cols>
  <sheetData>
    <row r="1" ht="26.15" customHeight="1" s="45">
      <c r="A1" s="46" t="inlineStr">
        <is>
          <t>M1 · MATRIZ DE PRUEBAS UNITARIAS · portfolio (codebymike.tech)</t>
        </is>
      </c>
    </row>
    <row r="3">
      <c r="A3" s="9" t="inlineStr">
        <is>
          <t>Proyecto:</t>
        </is>
      </c>
      <c r="B3" s="10" t="inlineStr">
        <is>
          <t>portfolio · Astro 7 SSR + Turso/libSQL + Drizzle</t>
        </is>
      </c>
      <c r="D3" s="9" t="inlineStr">
        <is>
          <t>Entorno:</t>
        </is>
      </c>
      <c r="E3" s="10" t="inlineStr">
        <is>
          <t>Node 22.22.3 · Astro 7 · Vitest 3 (entorno node)</t>
        </is>
      </c>
    </row>
    <row r="4">
      <c r="A4" s="9" t="inlineStr">
        <is>
          <t>Responsable:</t>
        </is>
      </c>
      <c r="B4" s="10" t="inlineStr">
        <is>
          <t>Mike (@mikerb95)</t>
        </is>
      </c>
      <c r="D4" s="9" t="inlineStr">
        <is>
          <t>2026-08-31</t>
        </is>
      </c>
      <c r="E4" s="10" t="n"/>
    </row>
    <row r="5">
      <c r="A5" s="9" t="inlineStr">
        <is>
          <t>Herramienta:</t>
        </is>
      </c>
      <c r="B5" s="10" t="inlineStr">
        <is>
          <t>Vitest + @vitest/coverage-v8</t>
        </is>
      </c>
      <c r="D5" s="9" t="inlineStr">
        <is>
          <t>Informe:</t>
        </is>
      </c>
      <c r="E5" s="10" t="inlineStr">
        <is>
          <t>npx vitest run --reporter=json · npx vitest run --coverage</t>
        </is>
      </c>
    </row>
    <row r="6" ht="26.15" customHeight="1" s="45">
      <c r="A6" s="52" t="inlineStr">
        <is>
          <t>Nota · Este repo prioriza lógica pura sin BD en tests/ (funciones de src/lib/ que no importan ../db), como pide CLAUDE.md. La corrida completa el 2026-08-31 dio 1379/1379 tests OK en 413 suites (0 fallos). Los 10 casos de esta hoja son una muestra representativa de esas 413 suites, elegidos para cubrir seguridad, pagos, aislamiento multi-tenant, criptografía, telefonía y agenda.</t>
        </is>
      </c>
      <c r="B6" s="55" t="n"/>
      <c r="C6" s="55" t="n"/>
      <c r="D6" s="55" t="n"/>
      <c r="E6" s="55" t="n"/>
      <c r="F6" s="55" t="n"/>
      <c r="G6" s="55" t="n"/>
      <c r="H6" s="55" t="n"/>
      <c r="I6" s="55" t="n"/>
      <c r="J6" s="56" t="n"/>
    </row>
    <row r="7" ht="32.15" customHeight="1" s="45">
      <c r="A7" s="54" t="inlineStr">
        <is>
          <t>ID</t>
        </is>
      </c>
      <c r="B7" s="54" t="inlineStr">
        <is>
          <t>Requisito</t>
        </is>
      </c>
      <c r="C7" s="54" t="inlineStr">
        <is>
          <t>Clase / método bajo prueba</t>
        </is>
      </c>
      <c r="D7" s="54" t="inlineStr">
        <is>
          <t>Caso de prueba</t>
        </is>
      </c>
      <c r="E7" s="54" t="inlineStr">
        <is>
          <t>Entrada / Condición</t>
        </is>
      </c>
      <c r="F7" s="54" t="inlineStr">
        <is>
          <t>Resultado esperado</t>
        </is>
      </c>
      <c r="G7" s="54" t="inlineStr">
        <is>
          <t>Resultado obtenido</t>
        </is>
      </c>
      <c r="H7" s="54" t="inlineStr">
        <is>
          <t>Estado</t>
        </is>
      </c>
      <c r="I7" s="54" t="inlineStr">
        <is>
          <t>Defecto</t>
        </is>
      </c>
      <c r="J7" s="54" t="inlineStr">
        <is>
          <t>Evidencia</t>
        </is>
      </c>
    </row>
    <row r="8" ht="30" customHeight="1" s="45">
      <c r="A8" s="12" t="n"/>
      <c r="B8" s="13" t="n"/>
      <c r="C8" s="13" t="n"/>
      <c r="D8" s="13" t="n"/>
      <c r="E8" s="13" t="n"/>
      <c r="F8" s="13" t="n"/>
      <c r="G8" s="13" t="n"/>
      <c r="H8" s="12" t="n"/>
      <c r="I8" s="12" t="n"/>
      <c r="J8" s="13" t="n"/>
    </row>
    <row r="9" ht="30" customHeight="1" s="45">
      <c r="A9" s="14" t="inlineStr">
        <is>
          <t>PU-01</t>
        </is>
      </c>
      <c r="B9" s="15" t="inlineStr">
        <is>
          <t>RF-607</t>
        </is>
      </c>
      <c r="C9" s="15" t="inlineStr">
        <is>
          <t>src/lib/security/classify.ts · classify</t>
        </is>
      </c>
      <c r="D9" s="15" t="inlineStr">
        <is>
          <t>El tráfico legítimo no dispara falsos positivos</t>
        </is>
      </c>
      <c r="E9" s="15" t="inlineStr">
        <is>
          <t>Rutas de navegación normal (/, /projects, búsquedas con querystring)</t>
        </is>
      </c>
      <c r="F9" s="15" t="inlineStr">
        <is>
          <t>classify() no devuelve ninguna categoría de amenaza</t>
        </is>
      </c>
      <c r="G9" s="16" t="inlineStr">
        <is>
          <t>Ninguna de las rutas legítimas probadas generó una categoría</t>
        </is>
      </c>
      <c r="H9" s="16" t="inlineStr">
        <is>
          <t>APROBADA</t>
        </is>
      </c>
      <c r="I9" s="16" t="inlineStr">
        <is>
          <t>—</t>
        </is>
      </c>
      <c r="J9" s="16" t="inlineStr">
        <is>
          <t>tests/security-classify.test.ts</t>
        </is>
      </c>
    </row>
    <row r="10" ht="30" customHeight="1" s="45">
      <c r="A10" s="17" t="inlineStr">
        <is>
          <t>PU-02</t>
        </is>
      </c>
      <c r="B10" s="18" t="inlineStr">
        <is>
          <t>RF-607</t>
        </is>
      </c>
      <c r="C10" s="18" t="inlineStr">
        <is>
          <t>src/lib/security/classify.ts · classify</t>
        </is>
      </c>
      <c r="D10" s="18" t="inlineStr">
        <is>
          <t>Los honeypots conocidos se marcan como críticos</t>
        </is>
      </c>
      <c r="E10" s="18" t="inlineStr">
        <is>
          <t>GET a rutas honeypot (ej. rutas de administración falsas, .env)</t>
        </is>
      </c>
      <c r="F10" s="18" t="inlineStr">
        <is>
          <t>classify() devuelve categoría "honeypot" con severidad crítica</t>
        </is>
      </c>
      <c r="G10" s="53" t="inlineStr">
        <is>
          <t>Las rutas honeypot probadas se marcaron correctamente</t>
        </is>
      </c>
      <c r="H10" s="53" t="inlineStr">
        <is>
          <t>APROBADA</t>
        </is>
      </c>
      <c r="I10" s="53" t="inlineStr">
        <is>
          <t>—</t>
        </is>
      </c>
      <c r="J10" s="53" t="inlineStr">
        <is>
          <t>tests/security-classify.test.ts</t>
        </is>
      </c>
    </row>
    <row r="11" ht="30" customHeight="1" s="45">
      <c r="A11" s="14" t="inlineStr">
        <is>
          <t>PU-03</t>
        </is>
      </c>
      <c r="B11" s="15" t="inlineStr">
        <is>
          <t>RF-502</t>
        </is>
      </c>
      <c r="C11" s="15" t="inlineStr">
        <is>
          <t>src/lib/payments-state.ts · máquina de estados</t>
        </is>
      </c>
      <c r="D11" s="15" t="inlineStr">
        <is>
          <t>Flujo feliz created → pending → approved es una transición válida</t>
        </is>
      </c>
      <c r="E11" s="15" t="inlineStr">
        <is>
          <t>Secuencia de estados en orden normal</t>
        </is>
      </c>
      <c r="F11" s="15" t="inlineStr">
        <is>
          <t>La transición se acepta sin lanzar error</t>
        </is>
      </c>
      <c r="G11" s="16" t="inlineStr">
        <is>
          <t>Transición aceptada</t>
        </is>
      </c>
      <c r="H11" s="16" t="inlineStr">
        <is>
          <t>APROBADA</t>
        </is>
      </c>
      <c r="I11" s="16" t="inlineStr">
        <is>
          <t>—</t>
        </is>
      </c>
      <c r="J11" s="16" t="inlineStr">
        <is>
          <t>tests/payments.test.ts</t>
        </is>
      </c>
    </row>
    <row r="12" ht="30" customHeight="1" s="45">
      <c r="A12" s="17" t="inlineStr">
        <is>
          <t>PU-04</t>
        </is>
      </c>
      <c r="B12" s="18" t="inlineStr">
        <is>
          <t>RF-502</t>
        </is>
      </c>
      <c r="C12" s="18" t="inlineStr">
        <is>
          <t>src/lib/payments-state.ts · máquina de estados</t>
        </is>
      </c>
      <c r="D12" s="18" t="inlineStr">
        <is>
          <t>Un pago aprobado no retrocede a "rechazado" tras un webhook fuera de orden</t>
        </is>
      </c>
      <c r="E12" s="18" t="inlineStr">
        <is>
          <t>Estado actual approved; llega un webhook con estado rejected</t>
        </is>
      </c>
      <c r="F12" s="18" t="inlineStr">
        <is>
          <t>La transición se rechaza; solo se permite anular, no rechazar</t>
        </is>
      </c>
      <c r="G12" s="53" t="inlineStr">
        <is>
          <t>Transición bloqueada correctamente</t>
        </is>
      </c>
      <c r="H12" s="53" t="inlineStr">
        <is>
          <t>APROBADA</t>
        </is>
      </c>
      <c r="I12" s="53" t="inlineStr">
        <is>
          <t>—</t>
        </is>
      </c>
      <c r="J12" s="53" t="inlineStr">
        <is>
          <t>tests/payments.test.ts</t>
        </is>
      </c>
    </row>
    <row r="13" ht="30" customHeight="1" s="45">
      <c r="A13" s="14" t="inlineStr">
        <is>
          <t>PU-05</t>
        </is>
      </c>
      <c r="B13" s="15" t="inlineStr">
        <is>
          <t>RF-802</t>
        </is>
      </c>
      <c r="C13" s="15" t="inlineStr">
        <is>
          <t>src/lib/portal/* · aislamiento entre clientes</t>
        </is>
      </c>
      <c r="D13" s="15" t="inlineStr">
        <is>
          <t>Cada cliente solo ve sus propias facturas</t>
        </is>
      </c>
      <c r="E13" s="15" t="inlineStr">
        <is>
          <t>Dos clientes con facturas propias en la misma tabla portal_invoices</t>
        </is>
      </c>
      <c r="F13" s="15" t="inlineStr">
        <is>
          <t>La consulta con clientId de A nunca devuelve filas de B</t>
        </is>
      </c>
      <c r="G13" s="16" t="inlineStr">
        <is>
          <t>26 tests de aislamiento (facturas, proyectos, hitos, resumen) pasan</t>
        </is>
      </c>
      <c r="H13" s="16" t="inlineStr">
        <is>
          <t>APROBADA</t>
        </is>
      </c>
      <c r="I13" s="16" t="inlineStr">
        <is>
          <t>—</t>
        </is>
      </c>
      <c r="J13" s="16" t="inlineStr">
        <is>
          <t>tests/portal-isolation.test.ts</t>
        </is>
      </c>
    </row>
    <row r="14" ht="30" customHeight="1" s="45">
      <c r="A14" s="17" t="inlineStr">
        <is>
          <t>PU-06</t>
        </is>
      </c>
      <c r="B14" s="18" t="inlineStr">
        <is>
          <t>RF-303</t>
        </is>
      </c>
      <c r="C14" s="18" t="inlineStr">
        <is>
          <t>src/lib/security/crypto.ts (AES-256-GCM)</t>
        </is>
      </c>
      <c r="D14" s="18" t="inlineStr">
        <is>
          <t>Roundtrip de cifrado conserva el texto original</t>
        </is>
      </c>
      <c r="E14" s="18" t="inlineStr">
        <is>
          <t>Texto plano de prueba + ENCRYPTION_KEY válida</t>
        </is>
      </c>
      <c r="F14" s="18" t="inlineStr">
        <is>
          <t>decrypt(encrypt(texto)) === texto</t>
        </is>
      </c>
      <c r="G14" s="53" t="inlineStr">
        <is>
          <t>Roundtrip correcto en todos los casos probados</t>
        </is>
      </c>
      <c r="H14" s="53" t="inlineStr">
        <is>
          <t>APROBADA</t>
        </is>
      </c>
      <c r="I14" s="53" t="inlineStr">
        <is>
          <t>—</t>
        </is>
      </c>
      <c r="J14" s="53" t="inlineStr">
        <is>
          <t>tests/crypto.test.ts</t>
        </is>
      </c>
    </row>
    <row r="15" ht="30" customHeight="1" s="45">
      <c r="A15" s="14" t="inlineStr">
        <is>
          <t>PU-07</t>
        </is>
      </c>
      <c r="B15" s="15" t="inlineStr">
        <is>
          <t>RF-303</t>
        </is>
      </c>
      <c r="C15" s="15" t="inlineStr">
        <is>
          <t>src/lib/security/crypto.ts (AES-256-GCM)</t>
        </is>
      </c>
      <c r="D15" s="15" t="inlineStr">
        <is>
          <t>Un ciphertext manipulado no descifra</t>
        </is>
      </c>
      <c r="E15" s="15" t="inlineStr">
        <is>
          <t>Cadena iv:tag:datos con un byte alterado</t>
        </is>
      </c>
      <c r="F15" s="15" t="inlineStr">
        <is>
          <t>decrypt() lanza error de integridad (tag GCM inválido)</t>
        </is>
      </c>
      <c r="G15" s="16" t="inlineStr">
        <is>
          <t>Lanza el error esperado</t>
        </is>
      </c>
      <c r="H15" s="16" t="inlineStr">
        <is>
          <t>APROBADA</t>
        </is>
      </c>
      <c r="I15" s="16" t="inlineStr">
        <is>
          <t>—</t>
        </is>
      </c>
      <c r="J15" s="16" t="inlineStr">
        <is>
          <t>tests/crypto.test.ts</t>
        </is>
      </c>
    </row>
    <row r="16" ht="30" customHeight="1" s="45">
      <c r="A16" s="17" t="inlineStr">
        <is>
          <t>PU-08</t>
        </is>
      </c>
      <c r="B16" s="18" t="inlineStr">
        <is>
          <t>RF-306</t>
        </is>
      </c>
      <c r="C16" s="18" t="inlineStr">
        <is>
          <t>src/lib/phone.ts · normalizePhone</t>
        </is>
      </c>
      <c r="D16" s="18" t="inlineStr">
        <is>
          <t>Normaliza los formatos en que un cliente colombiano escribe su celular</t>
        </is>
      </c>
      <c r="E16" s="18" t="inlineStr">
        <is>
          <t>"3001234567", "300 123 4567", "+57 300 123 4567", etc.</t>
        </is>
      </c>
      <c r="F16" s="18" t="inlineStr">
        <is>
          <t>Todas las variantes normalizan al mismo E.164 (+573001234567)</t>
        </is>
      </c>
      <c r="G16" s="53" t="inlineStr">
        <is>
          <t>Normalización consistente en todas las variantes probadas</t>
        </is>
      </c>
      <c r="H16" s="53" t="inlineStr">
        <is>
          <t>APROBADA</t>
        </is>
      </c>
      <c r="I16" s="53" t="inlineStr">
        <is>
          <t>—</t>
        </is>
      </c>
      <c r="J16" s="53" t="inlineStr">
        <is>
          <t>tests/phone.test.ts</t>
        </is>
      </c>
    </row>
    <row r="17" ht="30" customHeight="1" s="45">
      <c r="A17" s="14" t="inlineStr">
        <is>
          <t>PU-09</t>
        </is>
      </c>
      <c r="B17" s="15" t="inlineStr">
        <is>
          <t>RF-012</t>
        </is>
      </c>
      <c r="C17" s="15" t="inlineStr">
        <is>
          <t>src/lib/festivos-co.ts · festivosDe</t>
        </is>
      </c>
      <c r="D17" s="15" t="inlineStr">
        <is>
          <t>Colombia tiene 18 festivos al año, con la Ley Emiliani aplicada</t>
        </is>
      </c>
      <c r="E17" s="15" t="inlineStr">
        <is>
          <t>Año calendario de referencia</t>
        </is>
      </c>
      <c r="F17" s="15" t="inlineStr">
        <is>
          <t>18 fechas; los festivos móviles corren al lunes según la ley, los de fecha fija no</t>
        </is>
      </c>
      <c r="G17" s="16" t="inlineStr">
        <is>
          <t>18 festivos, corrimiento correcto</t>
        </is>
      </c>
      <c r="H17" s="16" t="inlineStr">
        <is>
          <t>APROBADA</t>
        </is>
      </c>
      <c r="I17" s="16" t="inlineStr">
        <is>
          <t>—</t>
        </is>
      </c>
      <c r="J17" s="16" t="inlineStr">
        <is>
          <t>tests/festivos-co.test.ts</t>
        </is>
      </c>
    </row>
    <row r="18" ht="30" customHeight="1" s="45">
      <c r="A18" s="17" t="inlineStr">
        <is>
          <t>PU-10</t>
        </is>
      </c>
      <c r="B18" s="18" t="inlineStr">
        <is>
          <t>RF-204</t>
        </is>
      </c>
      <c r="C18" s="18" t="inlineStr">
        <is>
          <t>src/lib/normalization.ts · normalizeInteractionInput</t>
        </is>
      </c>
      <c r="D18" s="18" t="inlineStr">
        <is>
          <t>Una interacción nueva recibe sus valores por defecto</t>
        </is>
      </c>
      <c r="E18" s="18" t="inlineStr">
        <is>
          <t>Body parcial sin tipo ni fecha de ocurrencia</t>
        </is>
      </c>
      <c r="F18" s="18" t="inlineStr">
        <is>
          <t>tipo cae a "note", occurredAt cae a "ahora", ids ausentes quedan null</t>
        </is>
      </c>
      <c r="G18" s="53" t="inlineStr">
        <is>
          <t>Defaults aplicados correctamente</t>
        </is>
      </c>
      <c r="H18" s="53" t="inlineStr">
        <is>
          <t>APROBADA</t>
        </is>
      </c>
      <c r="I18" s="53" t="inlineStr">
        <is>
          <t>—</t>
        </is>
      </c>
      <c r="J18" s="53" t="inlineStr">
        <is>
          <t>tests/normalization.test.ts</t>
        </is>
      </c>
    </row>
    <row r="19" ht="30" customHeight="1" s="45">
      <c r="A19" s="15" t="n"/>
      <c r="B19" s="15" t="n"/>
      <c r="C19" s="15" t="n"/>
      <c r="D19" s="15" t="n"/>
      <c r="E19" s="15" t="n"/>
      <c r="F19" s="15" t="n"/>
      <c r="G19" s="16" t="n"/>
      <c r="H19" s="16" t="n"/>
      <c r="I19" s="16" t="n"/>
      <c r="J19" s="16" t="n"/>
    </row>
    <row r="20" ht="30" customHeight="1" s="45">
      <c r="A20" s="18" t="n"/>
      <c r="B20" s="18" t="n"/>
      <c r="C20" s="18" t="n"/>
      <c r="D20" s="18" t="n"/>
      <c r="E20" s="18" t="n"/>
      <c r="F20" s="18" t="n"/>
      <c r="G20" s="53" t="n"/>
      <c r="H20" s="53" t="n"/>
      <c r="I20" s="53" t="n"/>
      <c r="J20" s="53" t="n"/>
    </row>
    <row r="21" ht="30" customHeight="1" s="45">
      <c r="A21" s="15" t="n"/>
      <c r="B21" s="15" t="n"/>
      <c r="C21" s="15" t="n"/>
      <c r="D21" s="15" t="n"/>
      <c r="E21" s="15" t="n"/>
      <c r="F21" s="15" t="n"/>
      <c r="G21" s="16" t="n"/>
      <c r="H21" s="16" t="n"/>
      <c r="I21" s="16" t="n"/>
      <c r="J21" s="16" t="n"/>
    </row>
    <row r="22" ht="30" customHeight="1" s="45">
      <c r="A22" s="18" t="n"/>
      <c r="B22" s="18" t="n"/>
      <c r="C22" s="18" t="n"/>
      <c r="D22" s="18" t="n"/>
      <c r="E22" s="18" t="n"/>
      <c r="F22" s="18" t="n"/>
      <c r="G22" s="53" t="n"/>
      <c r="H22" s="53" t="n"/>
      <c r="I22" s="53" t="n"/>
      <c r="J22" s="53" t="n"/>
    </row>
    <row r="23" ht="30" customHeight="1" s="45">
      <c r="A23" s="15" t="n"/>
      <c r="B23" s="15" t="n"/>
      <c r="C23" s="15" t="n"/>
      <c r="D23" s="15" t="n"/>
      <c r="E23" s="15" t="n"/>
      <c r="F23" s="15" t="n"/>
      <c r="G23" s="16" t="n"/>
      <c r="H23" s="16" t="n"/>
      <c r="I23" s="16" t="n"/>
      <c r="J23" s="16" t="n"/>
    </row>
    <row r="24" ht="30" customHeight="1" s="45">
      <c r="A24" s="18" t="n"/>
      <c r="B24" s="18" t="n"/>
      <c r="C24" s="18" t="n"/>
      <c r="D24" s="18" t="n"/>
      <c r="E24" s="18" t="n"/>
      <c r="F24" s="18" t="n"/>
      <c r="G24" s="53" t="n"/>
      <c r="H24" s="53" t="n"/>
      <c r="I24" s="53" t="n"/>
      <c r="J24" s="53" t="n"/>
    </row>
    <row r="25" ht="30" customHeight="1" s="45">
      <c r="A25" s="15" t="n"/>
      <c r="B25" s="15" t="n"/>
      <c r="C25" s="15" t="n"/>
      <c r="D25" s="15" t="n"/>
      <c r="E25" s="15" t="n"/>
      <c r="F25" s="15" t="n"/>
      <c r="G25" s="16" t="n"/>
      <c r="H25" s="16" t="n"/>
      <c r="I25" s="16" t="n"/>
      <c r="J25" s="16" t="n"/>
    </row>
    <row r="26" ht="30" customHeight="1" s="45">
      <c r="A26" s="18" t="n"/>
      <c r="B26" s="18" t="n"/>
      <c r="C26" s="18" t="n"/>
      <c r="D26" s="18" t="n"/>
      <c r="E26" s="18" t="n"/>
      <c r="F26" s="18" t="n"/>
      <c r="G26" s="53" t="n"/>
      <c r="H26" s="53" t="n"/>
      <c r="I26" s="53" t="n"/>
      <c r="J26" s="53" t="n"/>
    </row>
    <row r="27" ht="30" customHeight="1" s="45">
      <c r="A27" s="15" t="n"/>
      <c r="B27" s="15" t="n"/>
      <c r="C27" s="15" t="n"/>
      <c r="D27" s="15" t="n"/>
      <c r="E27" s="15" t="n"/>
      <c r="F27" s="15" t="n"/>
      <c r="G27" s="16" t="n"/>
      <c r="H27" s="16" t="n"/>
      <c r="I27" s="16" t="n"/>
      <c r="J27" s="16" t="n"/>
    </row>
    <row r="28" ht="30" customHeight="1" s="45">
      <c r="A28" s="18" t="n"/>
      <c r="B28" s="18" t="n"/>
      <c r="C28" s="18" t="n"/>
      <c r="D28" s="18" t="n"/>
      <c r="E28" s="18" t="n"/>
      <c r="F28" s="18" t="n"/>
      <c r="G28" s="53" t="n"/>
      <c r="H28" s="53" t="n"/>
      <c r="I28" s="53" t="n"/>
      <c r="J28" s="53" t="n"/>
    </row>
    <row r="29" ht="30" customHeight="1" s="45">
      <c r="A29" s="15" t="n"/>
      <c r="B29" s="15" t="n"/>
      <c r="C29" s="15" t="n"/>
      <c r="D29" s="15" t="n"/>
      <c r="E29" s="15" t="n"/>
      <c r="F29" s="15" t="n"/>
      <c r="G29" s="16" t="n"/>
      <c r="H29" s="16" t="n"/>
      <c r="I29" s="16" t="n"/>
      <c r="J29" s="16" t="n"/>
    </row>
    <row r="30" ht="30" customHeight="1" s="45">
      <c r="A30" s="18" t="n"/>
      <c r="B30" s="18" t="n"/>
      <c r="C30" s="18" t="n"/>
      <c r="D30" s="18" t="n"/>
      <c r="E30" s="18" t="n"/>
      <c r="F30" s="18" t="n"/>
      <c r="G30" s="53" t="n"/>
      <c r="H30" s="53" t="n"/>
      <c r="I30" s="53" t="n"/>
      <c r="J30" s="53" t="n"/>
    </row>
    <row r="31" ht="30" customHeight="1" s="45">
      <c r="A31" s="15" t="n"/>
      <c r="B31" s="15" t="n"/>
      <c r="C31" s="15" t="n"/>
      <c r="D31" s="15" t="n"/>
      <c r="E31" s="15" t="n"/>
      <c r="F31" s="15" t="n"/>
      <c r="G31" s="16" t="n"/>
      <c r="H31" s="16" t="n"/>
      <c r="I31" s="16" t="n"/>
      <c r="J31" s="16" t="n"/>
    </row>
    <row r="32" ht="30" customHeight="1" s="45">
      <c r="A32" s="18" t="n"/>
      <c r="B32" s="18" t="n"/>
      <c r="C32" s="18" t="n"/>
      <c r="D32" s="18" t="n"/>
      <c r="E32" s="18" t="n"/>
      <c r="F32" s="18" t="n"/>
      <c r="G32" s="53" t="n"/>
      <c r="H32" s="53" t="n"/>
      <c r="I32" s="53" t="n"/>
      <c r="J32" s="53" t="n"/>
    </row>
    <row r="33" ht="30" customHeight="1" s="45">
      <c r="A33" s="15" t="n"/>
      <c r="B33" s="15" t="n"/>
      <c r="C33" s="15" t="n"/>
      <c r="D33" s="15" t="n"/>
      <c r="E33" s="15" t="n"/>
      <c r="F33" s="15" t="n"/>
      <c r="G33" s="16" t="n"/>
      <c r="H33" s="16" t="n"/>
      <c r="I33" s="16" t="n"/>
      <c r="J33" s="16" t="n"/>
    </row>
    <row r="34" ht="30" customHeight="1" s="45">
      <c r="A34" s="18" t="n"/>
      <c r="B34" s="18" t="n"/>
      <c r="C34" s="18" t="n"/>
      <c r="D34" s="18" t="n"/>
      <c r="E34" s="18" t="n"/>
      <c r="F34" s="18" t="n"/>
      <c r="G34" s="53" t="n"/>
      <c r="H34" s="53" t="n"/>
      <c r="I34" s="53" t="n"/>
      <c r="J34" s="53" t="n"/>
    </row>
    <row r="35" ht="30" customHeight="1" s="45">
      <c r="A35" s="15" t="n"/>
      <c r="B35" s="15" t="n"/>
      <c r="C35" s="15" t="n"/>
      <c r="D35" s="15" t="n"/>
      <c r="E35" s="15" t="n"/>
      <c r="F35" s="15" t="n"/>
      <c r="G35" s="16" t="n"/>
      <c r="H35" s="16" t="n"/>
      <c r="I35" s="16" t="n"/>
      <c r="J35" s="16" t="n"/>
    </row>
    <row r="36" ht="30" customHeight="1" s="45">
      <c r="A36" s="18" t="n"/>
      <c r="B36" s="18" t="n"/>
      <c r="C36" s="18" t="n"/>
      <c r="D36" s="18" t="n"/>
      <c r="E36" s="18" t="n"/>
      <c r="F36" s="18" t="n"/>
      <c r="G36" s="53" t="n"/>
      <c r="H36" s="53" t="n"/>
      <c r="I36" s="53" t="n"/>
      <c r="J36" s="53" t="n"/>
    </row>
    <row r="37" ht="30" customHeight="1" s="45">
      <c r="A37" s="15" t="n"/>
      <c r="B37" s="15" t="n"/>
      <c r="C37" s="15" t="n"/>
      <c r="D37" s="15" t="n"/>
      <c r="E37" s="15" t="n"/>
      <c r="F37" s="15" t="n"/>
      <c r="G37" s="16" t="n"/>
      <c r="H37" s="16" t="n"/>
      <c r="I37" s="16" t="n"/>
      <c r="J37" s="16" t="n"/>
    </row>
    <row r="38" ht="30" customHeight="1" s="45">
      <c r="A38" s="18" t="n"/>
      <c r="B38" s="18" t="n"/>
      <c r="C38" s="18" t="n"/>
      <c r="D38" s="18" t="n"/>
      <c r="E38" s="18" t="n"/>
      <c r="F38" s="18" t="n"/>
      <c r="G38" s="53" t="n"/>
      <c r="H38" s="53" t="n"/>
      <c r="I38" s="53" t="n"/>
      <c r="J38" s="53" t="n"/>
    </row>
    <row r="39" ht="30" customHeight="1" s="45">
      <c r="A39" s="15" t="n"/>
      <c r="B39" s="15" t="n"/>
      <c r="C39" s="15" t="n"/>
      <c r="D39" s="15" t="n"/>
      <c r="E39" s="15" t="n"/>
      <c r="F39" s="15" t="n"/>
      <c r="G39" s="16" t="n"/>
      <c r="H39" s="16" t="n"/>
      <c r="I39" s="16" t="n"/>
      <c r="J39" s="16" t="n"/>
    </row>
    <row r="40" ht="30" customHeight="1" s="45">
      <c r="A40" s="18" t="n"/>
      <c r="B40" s="18" t="n"/>
      <c r="C40" s="18" t="n"/>
      <c r="D40" s="18" t="n"/>
      <c r="E40" s="18" t="n"/>
      <c r="F40" s="18" t="n"/>
      <c r="G40" s="53" t="n"/>
      <c r="H40" s="53" t="n"/>
      <c r="I40" s="53" t="n"/>
      <c r="J40" s="53" t="n"/>
    </row>
    <row r="41" ht="30" customHeight="1" s="45">
      <c r="A41" s="15" t="n"/>
      <c r="B41" s="15" t="n"/>
      <c r="C41" s="15" t="n"/>
      <c r="D41" s="15" t="n"/>
      <c r="E41" s="15" t="n"/>
      <c r="F41" s="15" t="n"/>
      <c r="G41" s="16" t="n"/>
      <c r="H41" s="16" t="n"/>
      <c r="I41" s="16" t="n"/>
      <c r="J41" s="16" t="n"/>
    </row>
    <row r="42" ht="30" customHeight="1" s="45">
      <c r="A42" s="18" t="n"/>
      <c r="B42" s="18" t="n"/>
      <c r="C42" s="18" t="n"/>
      <c r="D42" s="18" t="n"/>
      <c r="E42" s="18" t="n"/>
      <c r="F42" s="18" t="n"/>
      <c r="G42" s="53" t="n"/>
      <c r="H42" s="53" t="n"/>
      <c r="I42" s="53" t="n"/>
      <c r="J42" s="53" t="n"/>
    </row>
    <row r="43" ht="30" customHeight="1" s="45">
      <c r="A43" s="15" t="n"/>
      <c r="B43" s="15" t="n"/>
      <c r="C43" s="15" t="n"/>
      <c r="D43" s="15" t="n"/>
      <c r="E43" s="15" t="n"/>
      <c r="F43" s="15" t="n"/>
      <c r="G43" s="16" t="n"/>
      <c r="H43" s="16" t="n"/>
      <c r="I43" s="16" t="n"/>
      <c r="J43" s="16" t="n"/>
    </row>
    <row r="44" ht="30" customHeight="1" s="45">
      <c r="A44" s="18" t="n"/>
      <c r="B44" s="18" t="n"/>
      <c r="C44" s="18" t="n"/>
      <c r="D44" s="18" t="n"/>
      <c r="E44" s="18" t="n"/>
      <c r="F44" s="18" t="n"/>
      <c r="G44" s="53" t="n"/>
      <c r="H44" s="53" t="n"/>
      <c r="I44" s="53" t="n"/>
      <c r="J44" s="53" t="n"/>
    </row>
    <row r="45" ht="30" customHeight="1" s="45">
      <c r="A45" s="15" t="n"/>
      <c r="B45" s="15" t="n"/>
      <c r="C45" s="15" t="n"/>
      <c r="D45" s="15" t="n"/>
      <c r="E45" s="15" t="n"/>
      <c r="F45" s="15" t="n"/>
      <c r="G45" s="16" t="n"/>
      <c r="H45" s="16" t="n"/>
      <c r="I45" s="16" t="n"/>
      <c r="J45" s="16" t="n"/>
    </row>
    <row r="46" ht="30" customHeight="1" s="45">
      <c r="A46" s="18" t="n"/>
      <c r="B46" s="18" t="n"/>
      <c r="C46" s="18" t="n"/>
      <c r="D46" s="18" t="n"/>
      <c r="E46" s="18" t="n"/>
      <c r="F46" s="18" t="n"/>
      <c r="G46" s="53" t="n"/>
      <c r="H46" s="53" t="n"/>
      <c r="I46" s="53" t="n"/>
      <c r="J46" s="53" t="n"/>
    </row>
    <row r="47" ht="30" customHeight="1" s="45">
      <c r="A47" s="15" t="n"/>
      <c r="B47" s="15" t="n"/>
      <c r="C47" s="15" t="n"/>
      <c r="D47" s="15" t="n"/>
      <c r="E47" s="15" t="n"/>
      <c r="F47" s="15" t="n"/>
      <c r="G47" s="16" t="n"/>
      <c r="H47" s="16" t="n"/>
      <c r="I47" s="16" t="n"/>
      <c r="J47" s="16" t="n"/>
    </row>
    <row r="48" ht="30" customHeight="1" s="45">
      <c r="A48" s="18" t="n"/>
      <c r="B48" s="18" t="n"/>
      <c r="C48" s="18" t="n"/>
      <c r="D48" s="18" t="n"/>
      <c r="E48" s="18" t="n"/>
      <c r="F48" s="18" t="n"/>
      <c r="G48" s="53" t="n"/>
      <c r="H48" s="53" t="n"/>
      <c r="I48" s="53" t="n"/>
      <c r="J48" s="53" t="n"/>
    </row>
    <row r="49" ht="30" customHeight="1" s="45">
      <c r="A49" s="15" t="n"/>
      <c r="B49" s="15" t="n"/>
      <c r="C49" s="15" t="n"/>
      <c r="D49" s="15" t="n"/>
      <c r="E49" s="15" t="n"/>
      <c r="F49" s="15" t="n"/>
      <c r="G49" s="16" t="n"/>
      <c r="H49" s="16" t="n"/>
      <c r="I49" s="16" t="n"/>
      <c r="J49" s="16" t="n"/>
    </row>
    <row r="50" ht="30" customHeight="1" s="45">
      <c r="A50" s="18" t="n"/>
      <c r="B50" s="18" t="n"/>
      <c r="C50" s="18" t="n"/>
      <c r="D50" s="18" t="n"/>
      <c r="E50" s="18" t="n"/>
      <c r="F50" s="18" t="n"/>
      <c r="G50" s="53" t="n"/>
      <c r="H50" s="53" t="n"/>
      <c r="I50" s="53" t="n"/>
      <c r="J50" s="53" t="n"/>
    </row>
    <row r="51" ht="30" customHeight="1" s="45">
      <c r="A51" s="15" t="n"/>
      <c r="B51" s="15" t="n"/>
      <c r="C51" s="15" t="n"/>
      <c r="D51" s="15" t="n"/>
      <c r="E51" s="15" t="n"/>
      <c r="F51" s="15" t="n"/>
      <c r="G51" s="16" t="n"/>
      <c r="H51" s="16" t="n"/>
      <c r="I51" s="16" t="n"/>
      <c r="J51" s="16" t="n"/>
    </row>
    <row r="52" ht="30" customHeight="1" s="45">
      <c r="A52" s="18" t="n"/>
      <c r="B52" s="18" t="n"/>
      <c r="C52" s="18" t="n"/>
      <c r="D52" s="18" t="n"/>
      <c r="E52" s="18" t="n"/>
      <c r="F52" s="18" t="n"/>
      <c r="G52" s="53" t="n"/>
      <c r="H52" s="53" t="n"/>
      <c r="I52" s="53" t="n"/>
      <c r="J52" s="53" t="n"/>
    </row>
    <row r="53" ht="30" customHeight="1" s="45">
      <c r="A53" s="15" t="n"/>
      <c r="B53" s="15" t="n"/>
      <c r="C53" s="15" t="n"/>
      <c r="D53" s="15" t="n"/>
      <c r="E53" s="15" t="n"/>
      <c r="F53" s="15" t="n"/>
      <c r="G53" s="16" t="n"/>
      <c r="H53" s="16" t="n"/>
      <c r="I53" s="16" t="n"/>
      <c r="J53" s="16" t="n"/>
    </row>
    <row r="54" ht="30" customHeight="1" s="45">
      <c r="A54" s="18" t="n"/>
      <c r="B54" s="18" t="n"/>
      <c r="C54" s="18" t="n"/>
      <c r="D54" s="18" t="n"/>
      <c r="E54" s="18" t="n"/>
      <c r="F54" s="18" t="n"/>
      <c r="G54" s="53" t="n"/>
      <c r="H54" s="53" t="n"/>
      <c r="I54" s="53" t="n"/>
      <c r="J54" s="53" t="n"/>
    </row>
    <row r="55" ht="30" customHeight="1" s="45">
      <c r="A55" s="15" t="n"/>
      <c r="B55" s="15" t="n"/>
      <c r="C55" s="15" t="n"/>
      <c r="D55" s="15" t="n"/>
      <c r="E55" s="15" t="n"/>
      <c r="F55" s="15" t="n"/>
      <c r="G55" s="16" t="n"/>
      <c r="H55" s="16" t="n"/>
      <c r="I55" s="16" t="n"/>
      <c r="J55" s="16" t="n"/>
    </row>
    <row r="56" ht="30" customHeight="1" s="45">
      <c r="A56" s="18" t="n"/>
      <c r="B56" s="18" t="n"/>
      <c r="C56" s="18" t="n"/>
      <c r="D56" s="18" t="n"/>
      <c r="E56" s="18" t="n"/>
      <c r="F56" s="18" t="n"/>
      <c r="G56" s="53" t="n"/>
      <c r="H56" s="53" t="n"/>
      <c r="I56" s="53" t="n"/>
      <c r="J56" s="53" t="n"/>
    </row>
    <row r="57" ht="30" customHeight="1" s="45">
      <c r="A57" s="15" t="n"/>
      <c r="B57" s="15" t="n"/>
      <c r="C57" s="15" t="n"/>
      <c r="D57" s="15" t="n"/>
      <c r="E57" s="15" t="n"/>
      <c r="F57" s="15" t="n"/>
      <c r="G57" s="16" t="n"/>
      <c r="H57" s="16" t="n"/>
      <c r="I57" s="16" t="n"/>
      <c r="J57" s="16" t="n"/>
    </row>
    <row r="58" ht="30" customHeight="1" s="45">
      <c r="A58" s="18" t="n"/>
      <c r="B58" s="18" t="n"/>
      <c r="C58" s="18" t="n"/>
      <c r="D58" s="18" t="n"/>
      <c r="E58" s="18" t="n"/>
      <c r="F58" s="18" t="n"/>
      <c r="G58" s="53" t="n"/>
      <c r="H58" s="53" t="n"/>
      <c r="I58" s="53" t="n"/>
      <c r="J58" s="53" t="n"/>
    </row>
    <row r="59" ht="30" customHeight="1" s="45">
      <c r="A59" s="15" t="n"/>
      <c r="B59" s="15" t="n"/>
      <c r="C59" s="15" t="n"/>
      <c r="D59" s="15" t="n"/>
      <c r="E59" s="15" t="n"/>
      <c r="F59" s="15" t="n"/>
      <c r="G59" s="16" t="n"/>
      <c r="H59" s="16" t="n"/>
      <c r="I59" s="16" t="n"/>
      <c r="J59" s="16" t="n"/>
    </row>
    <row r="60" ht="30" customHeight="1" s="45">
      <c r="A60" s="18" t="n"/>
      <c r="B60" s="18" t="n"/>
      <c r="C60" s="18" t="n"/>
      <c r="D60" s="18" t="n"/>
      <c r="E60" s="18" t="n"/>
      <c r="F60" s="18" t="n"/>
      <c r="G60" s="53" t="n"/>
      <c r="H60" s="53" t="n"/>
      <c r="I60" s="53" t="n"/>
      <c r="J60" s="53" t="n"/>
    </row>
    <row r="61" ht="30" customHeight="1" s="45">
      <c r="A61" s="15" t="n"/>
      <c r="B61" s="15" t="n"/>
      <c r="C61" s="15" t="n"/>
      <c r="D61" s="15" t="n"/>
      <c r="E61" s="15" t="n"/>
      <c r="F61" s="15" t="n"/>
      <c r="G61" s="16" t="n"/>
      <c r="H61" s="16" t="n"/>
      <c r="I61" s="16" t="n"/>
      <c r="J61" s="16" t="n"/>
    </row>
    <row r="62" ht="30" customHeight="1" s="45">
      <c r="A62" s="18" t="n"/>
      <c r="B62" s="18" t="n"/>
      <c r="C62" s="18" t="n"/>
      <c r="D62" s="18" t="n"/>
      <c r="E62" s="18" t="n"/>
      <c r="F62" s="18" t="n"/>
      <c r="G62" s="53" t="n"/>
      <c r="H62" s="53" t="n"/>
      <c r="I62" s="53" t="n"/>
      <c r="J62" s="53" t="n"/>
    </row>
    <row r="63" ht="30" customHeight="1" s="45">
      <c r="A63" s="15" t="n"/>
      <c r="B63" s="15" t="n"/>
      <c r="C63" s="15" t="n"/>
      <c r="D63" s="15" t="n"/>
      <c r="E63" s="15" t="n"/>
      <c r="F63" s="15" t="n"/>
      <c r="G63" s="16" t="n"/>
      <c r="H63" s="16" t="n"/>
      <c r="I63" s="16" t="n"/>
      <c r="J63" s="16" t="n"/>
    </row>
    <row r="64" ht="30" customHeight="1" s="45">
      <c r="A64" s="18" t="n"/>
      <c r="B64" s="18" t="n"/>
      <c r="C64" s="18" t="n"/>
      <c r="D64" s="18" t="n"/>
      <c r="E64" s="18" t="n"/>
      <c r="F64" s="18" t="n"/>
      <c r="G64" s="53" t="n"/>
      <c r="H64" s="53" t="n"/>
      <c r="I64" s="53" t="n"/>
      <c r="J64" s="53" t="n"/>
    </row>
    <row r="65" ht="30" customHeight="1" s="45">
      <c r="A65" s="15" t="n"/>
      <c r="B65" s="15" t="n"/>
      <c r="C65" s="15" t="n"/>
      <c r="D65" s="15" t="n"/>
      <c r="E65" s="15" t="n"/>
      <c r="F65" s="15" t="n"/>
      <c r="G65" s="16" t="n"/>
      <c r="H65" s="16" t="n"/>
      <c r="I65" s="16" t="n"/>
      <c r="J65" s="16" t="n"/>
    </row>
    <row r="66" ht="30" customHeight="1" s="45">
      <c r="A66" s="18" t="n"/>
      <c r="B66" s="18" t="n"/>
      <c r="C66" s="18" t="n"/>
      <c r="D66" s="18" t="n"/>
      <c r="E66" s="18" t="n"/>
      <c r="F66" s="18" t="n"/>
      <c r="G66" s="53" t="n"/>
      <c r="H66" s="53" t="n"/>
      <c r="I66" s="53" t="n"/>
      <c r="J66" s="53" t="n"/>
    </row>
    <row r="67" ht="30" customHeight="1" s="45">
      <c r="A67" s="15" t="n"/>
      <c r="B67" s="15" t="n"/>
      <c r="C67" s="15" t="n"/>
      <c r="D67" s="15" t="n"/>
      <c r="E67" s="15" t="n"/>
      <c r="F67" s="15" t="n"/>
      <c r="G67" s="16" t="n"/>
      <c r="H67" s="16" t="n"/>
      <c r="I67" s="16" t="n"/>
      <c r="J67" s="16" t="n"/>
    </row>
  </sheetData>
  <mergeCells count="2">
    <mergeCell ref="A6:J6"/>
    <mergeCell ref="A1:J1"/>
  </mergeCells>
  <conditionalFormatting sqref="H8:H67">
    <cfRule type="cellIs" priority="1" operator="equal" dxfId="1">
      <formula>"APROBADA"</formula>
    </cfRule>
    <cfRule type="cellIs" priority="2" operator="equal" dxfId="0">
      <formula>"FALLIDA"</formula>
    </cfRule>
    <cfRule type="cellIs" priority="3" operator="equal" dxfId="3">
      <formula>"OBSERVACION"</formula>
    </cfRule>
    <cfRule type="cellIs" priority="4" operator="equal" dxfId="2">
      <formula>"BLOQUEADA"</formula>
    </cfRule>
  </conditionalFormatting>
  <dataValidations count="1">
    <dataValidation sqref="H8:H67" showDropDown="0" showInputMessage="0" showErrorMessage="0" allowBlank="1" errorTitle="Estado no valido" error="Elija: APROBADA, FALLIDA, BLOQUEADA u OBSERVACION." type="list">
      <formula1>"APROBADA,FALLIDA,BLOQUEADA,OBSERVACION"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7"/>
  <sheetViews>
    <sheetView workbookViewId="0">
      <pane ySplit="7" topLeftCell="A12" activePane="bottomLeft" state="frozen"/>
      <selection pane="bottomLeft" activeCell="A1" sqref="A1:J1"/>
    </sheetView>
  </sheetViews>
  <sheetFormatPr baseColWidth="10" defaultColWidth="9.1796875" defaultRowHeight="14.5"/>
  <cols>
    <col width="8" customWidth="1" style="45" min="1" max="1"/>
    <col width="11" customWidth="1" style="45" min="2" max="2"/>
    <col width="26" customWidth="1" style="45" min="3" max="3"/>
    <col width="36" customWidth="1" style="45" min="4" max="4"/>
    <col width="26" customWidth="1" style="45" min="5" max="5"/>
    <col width="34" customWidth="1" style="45" min="6" max="6"/>
    <col width="30" customWidth="1" style="45" min="7" max="7"/>
    <col width="14" customWidth="1" style="45" min="8" max="8"/>
    <col width="10" customWidth="1" style="45" min="9" max="9"/>
    <col width="24" customWidth="1" style="45" min="10" max="10"/>
  </cols>
  <sheetData>
    <row r="1" ht="26.15" customHeight="1" s="45">
      <c r="A1" s="46" t="inlineStr">
        <is>
          <t>M2 · MATRIZ DE PRUEBAS DE INTEGRACIÓN · portfolio (codebymike.tech)</t>
        </is>
      </c>
    </row>
    <row r="3">
      <c r="A3" s="9" t="inlineStr">
        <is>
          <t>Proyecto:</t>
        </is>
      </c>
      <c r="B3" s="10" t="inlineStr">
        <is>
          <t>portfolio · Astro 7 SSR + Turso/libSQL + Drizzle</t>
        </is>
      </c>
      <c r="D3" s="9" t="inlineStr">
        <is>
          <t>Entorno:</t>
        </is>
      </c>
      <c r="E3" s="10" t="inlineStr">
        <is>
          <t>Node 22.22.3 · Astro 7 dev · sqld local (Turso) en Docker (docker compose)</t>
        </is>
      </c>
    </row>
    <row r="4">
      <c r="A4" s="9" t="inlineStr">
        <is>
          <t>Responsable:</t>
        </is>
      </c>
      <c r="B4" s="10" t="inlineStr">
        <is>
          <t>Mike (@mikerb95)</t>
        </is>
      </c>
      <c r="D4" s="9" t="inlineStr">
        <is>
          <t>2026-08-31</t>
        </is>
      </c>
      <c r="E4" s="10" t="n"/>
    </row>
    <row r="5">
      <c r="A5" s="9" t="inlineStr">
        <is>
          <t>Herramienta:</t>
        </is>
      </c>
      <c r="B5" s="10" t="inlineStr">
        <is>
          <t>Playwright (Chromium)</t>
        </is>
      </c>
      <c r="D5" s="9" t="inlineStr">
        <is>
          <t>Informe:</t>
        </is>
      </c>
      <c r="E5" s="10" t="inlineStr">
        <is>
          <t>playwright-report/ · npx playwright test --reporter=json</t>
        </is>
      </c>
    </row>
    <row r="6" ht="26.15" customHeight="1" s="45">
      <c r="A6" s="52" t="inlineStr">
        <is>
          <t>Nota · Este repo no separa "integración" de "unitaria" a la manera de un proyecto Java (no hay clases *IT): los flujos completos (HTTP + base de datos + UI) se prueban con Playwright end-to-end contra Turso local, ver e2e/*.spec.ts. Esta hoja documenta esa capa. Corrida real del 2026-08-31: 44 aprobadas, 1 fallida, 3 bloqueadas (bloqueo en cascada por modo serie), de 48 casos.</t>
        </is>
      </c>
      <c r="B6" s="55" t="n"/>
      <c r="C6" s="55" t="n"/>
      <c r="D6" s="55" t="n"/>
      <c r="E6" s="55" t="n"/>
      <c r="F6" s="55" t="n"/>
      <c r="G6" s="55" t="n"/>
      <c r="H6" s="55" t="n"/>
      <c r="I6" s="55" t="n"/>
      <c r="J6" s="56" t="n"/>
    </row>
    <row r="7" ht="32.15" customHeight="1" s="45">
      <c r="A7" s="54" t="inlineStr">
        <is>
          <t>ID</t>
        </is>
      </c>
      <c r="B7" s="54" t="inlineStr">
        <is>
          <t>Requisito</t>
        </is>
      </c>
      <c r="C7" s="54" t="inlineStr">
        <is>
          <t>Componentes integrados</t>
        </is>
      </c>
      <c r="D7" s="54" t="inlineStr">
        <is>
          <t>Escenario</t>
        </is>
      </c>
      <c r="E7" s="54" t="inlineStr">
        <is>
          <t>Precondición</t>
        </is>
      </c>
      <c r="F7" s="54" t="inlineStr">
        <is>
          <t>Resultado esperado</t>
        </is>
      </c>
      <c r="G7" s="54" t="inlineStr">
        <is>
          <t>Resultado obtenido</t>
        </is>
      </c>
      <c r="H7" s="54" t="inlineStr">
        <is>
          <t>Estado</t>
        </is>
      </c>
      <c r="I7" s="54" t="inlineStr">
        <is>
          <t>Defecto</t>
        </is>
      </c>
      <c r="J7" s="54" t="inlineStr">
        <is>
          <t>Evidencia</t>
        </is>
      </c>
    </row>
    <row r="8" ht="30" customHeight="1" s="45">
      <c r="A8" s="12" t="n"/>
      <c r="B8" s="13" t="n"/>
      <c r="C8" s="13" t="n"/>
      <c r="D8" s="13" t="n"/>
      <c r="E8" s="13" t="n"/>
      <c r="F8" s="13" t="n"/>
      <c r="G8" s="13" t="n"/>
      <c r="H8" s="12" t="n"/>
      <c r="I8" s="12" t="n"/>
      <c r="J8" s="13" t="n"/>
    </row>
    <row r="9" ht="30" customHeight="1" s="45">
      <c r="A9" s="14" t="inlineStr">
        <is>
          <t>PI-01</t>
        </is>
      </c>
      <c r="B9" s="15" t="inlineStr">
        <is>
          <t>RF-101</t>
        </is>
      </c>
      <c r="C9" s="15" t="inlineStr">
        <is>
          <t>Middleware auth + Auth.js (GitHub OAuth)</t>
        </is>
      </c>
      <c r="D9" s="15" t="inlineStr">
        <is>
          <t>/admin sin sesión redirige al login</t>
        </is>
      </c>
      <c r="E9" s="15" t="inlineStr">
        <is>
          <t>GET /admin sin cookie de sesión admin</t>
        </is>
      </c>
      <c r="F9" s="15" t="inlineStr">
        <is>
          <t>HTTP 3xx con destino /login</t>
        </is>
      </c>
      <c r="G9" s="16" t="inlineStr">
        <is>
          <t>Redirección correcta</t>
        </is>
      </c>
      <c r="H9" s="16" t="inlineStr">
        <is>
          <t>APROBADA</t>
        </is>
      </c>
      <c r="I9" s="16" t="inlineStr">
        <is>
          <t>—</t>
        </is>
      </c>
      <c r="J9" s="16" t="inlineStr">
        <is>
          <t>e2e/auth.spec.ts</t>
        </is>
      </c>
    </row>
    <row r="10" ht="30" customHeight="1" s="45">
      <c r="A10" s="17" t="inlineStr">
        <is>
          <t>PI-02</t>
        </is>
      </c>
      <c r="B10" s="18" t="inlineStr">
        <is>
          <t>RF-101</t>
        </is>
      </c>
      <c r="C10" s="18" t="inlineStr">
        <is>
          <t>Middleware auth</t>
        </is>
      </c>
      <c r="D10" s="18" t="inlineStr">
        <is>
          <t>Las subpáginas del panel también están cerradas</t>
        </is>
      </c>
      <c r="E10" s="18" t="inlineStr">
        <is>
          <t>GET a varias rutas /admin/* sin sesión</t>
        </is>
      </c>
      <c r="F10" s="18" t="inlineStr">
        <is>
          <t>Todas redirigen a /login</t>
        </is>
      </c>
      <c r="G10" s="53" t="inlineStr">
        <is>
          <t>Redirección correcta en todas las subrutas probadas</t>
        </is>
      </c>
      <c r="H10" s="53" t="inlineStr">
        <is>
          <t>APROBADA</t>
        </is>
      </c>
      <c r="I10" s="53" t="inlineStr">
        <is>
          <t>—</t>
        </is>
      </c>
      <c r="J10" s="53" t="inlineStr">
        <is>
          <t>e2e/auth.spec.ts</t>
        </is>
      </c>
    </row>
    <row r="11" ht="30" customHeight="1" s="45">
      <c r="A11" s="14" t="inlineStr">
        <is>
          <t>PI-03</t>
        </is>
      </c>
      <c r="B11" s="15" t="inlineStr">
        <is>
          <t>RF-101</t>
        </is>
      </c>
      <c r="C11" s="15" t="inlineStr">
        <is>
          <t>API /api/admin/*</t>
        </is>
      </c>
      <c r="D11" s="15" t="inlineStr">
        <is>
          <t>Las APIs del panel no responden a anónimos</t>
        </is>
      </c>
      <c r="E11" s="15" t="inlineStr">
        <is>
          <t>GET a endpoints /api/admin/* sin sesión</t>
        </is>
      </c>
      <c r="F11" s="15" t="inlineStr">
        <is>
          <t>HTTP 401/403</t>
        </is>
      </c>
      <c r="G11" s="16" t="inlineStr">
        <is>
          <t>Rechazadas correctamente</t>
        </is>
      </c>
      <c r="H11" s="16" t="inlineStr">
        <is>
          <t>APROBADA</t>
        </is>
      </c>
      <c r="I11" s="16" t="inlineStr">
        <is>
          <t>—</t>
        </is>
      </c>
      <c r="J11" s="16" t="inlineStr">
        <is>
          <t>e2e/auth.spec.ts</t>
        </is>
      </c>
    </row>
    <row r="12" ht="30" customHeight="1" s="45">
      <c r="A12" s="17" t="inlineStr">
        <is>
          <t>PI-04</t>
        </is>
      </c>
      <c r="B12" s="18" t="inlineStr">
        <is>
          <t>RF-101</t>
        </is>
      </c>
      <c r="C12" s="18" t="inlineStr">
        <is>
          <t>API /api/admin/*</t>
        </is>
      </c>
      <c r="D12" s="18" t="inlineStr">
        <is>
          <t>Escribir en las APIs del panel tampoco funciona sin sesión</t>
        </is>
      </c>
      <c r="E12" s="18" t="inlineStr">
        <is>
          <t>POST a un endpoint de escritura sin sesión</t>
        </is>
      </c>
      <c r="F12" s="18" t="inlineStr">
        <is>
          <t>HTTP 401/403, sin efectos en la base</t>
        </is>
      </c>
      <c r="G12" s="53" t="inlineStr">
        <is>
          <t>Rechazado correctamente</t>
        </is>
      </c>
      <c r="H12" s="53" t="inlineStr">
        <is>
          <t>APROBADA</t>
        </is>
      </c>
      <c r="I12" s="53" t="inlineStr">
        <is>
          <t>—</t>
        </is>
      </c>
      <c r="J12" s="53" t="inlineStr">
        <is>
          <t>e2e/auth.spec.ts</t>
        </is>
      </c>
    </row>
    <row r="13" ht="30" customHeight="1" s="45">
      <c r="A13" s="14" t="inlineStr">
        <is>
          <t>PI-05</t>
        </is>
      </c>
      <c r="B13" s="15" t="inlineStr">
        <is>
          <t>RF-003</t>
        </is>
      </c>
      <c r="C13" s="15" t="inlineStr">
        <is>
          <t>/api/contact + CRM</t>
        </is>
      </c>
      <c r="D13" s="15" t="inlineStr">
        <is>
          <t>Un mensaje de contacto válido se acepta</t>
        </is>
      </c>
      <c r="E13" s="15" t="inlineStr">
        <is>
          <t>POST con nombre, email y mensaje válidos</t>
        </is>
      </c>
      <c r="F13" s="15" t="inlineStr">
        <is>
          <t>HTTP 200 y mensaje visible en /admin/messages</t>
        </is>
      </c>
      <c r="G13" s="16" t="inlineStr">
        <is>
          <t>Aceptado y registrado</t>
        </is>
      </c>
      <c r="H13" s="16" t="inlineStr">
        <is>
          <t>APROBADA</t>
        </is>
      </c>
      <c r="I13" s="16" t="inlineStr">
        <is>
          <t>—</t>
        </is>
      </c>
      <c r="J13" s="16" t="inlineStr">
        <is>
          <t>e2e/contact.spec.ts</t>
        </is>
      </c>
    </row>
    <row r="14" ht="30" customHeight="1" s="45">
      <c r="A14" s="17" t="inlineStr">
        <is>
          <t>PI-06</t>
        </is>
      </c>
      <c r="B14" s="18" t="inlineStr">
        <is>
          <t>RF-003</t>
        </is>
      </c>
      <c r="C14" s="18" t="inlineStr">
        <is>
          <t>/api/contact + validación</t>
        </is>
      </c>
      <c r="D14" s="18" t="inlineStr">
        <is>
          <t>Rechaza campos faltantes y email inválido</t>
        </is>
      </c>
      <c r="E14" s="18" t="inlineStr">
        <is>
          <t>POST con campos vacíos / email malformado</t>
        </is>
      </c>
      <c r="F14" s="18" t="inlineStr">
        <is>
          <t>HTTP 400 con detalle de validación, no se registra el mensaje</t>
        </is>
      </c>
      <c r="G14" s="53" t="inlineStr">
        <is>
          <t>Rechazado con 400</t>
        </is>
      </c>
      <c r="H14" s="53" t="inlineStr">
        <is>
          <t>APROBADA</t>
        </is>
      </c>
      <c r="I14" s="53" t="inlineStr">
        <is>
          <t>—</t>
        </is>
      </c>
      <c r="J14" s="53" t="inlineStr">
        <is>
          <t>e2e/contact.spec.ts</t>
        </is>
      </c>
    </row>
    <row r="15" ht="30" customHeight="1" s="45">
      <c r="A15" s="14" t="inlineStr">
        <is>
          <t>PI-07</t>
        </is>
      </c>
      <c r="B15" s="15" t="inlineStr">
        <is>
          <t>RF-603</t>
        </is>
      </c>
      <c r="C15" s="15" t="inlineStr">
        <is>
          <t>/api/contact + rate limit durable</t>
        </is>
      </c>
      <c r="D15" s="15" t="inlineStr">
        <is>
          <t>El rate limit corta el envío en ráfaga</t>
        </is>
      </c>
      <c r="E15" s="15" t="inlineStr">
        <is>
          <t>Envíos consecutivos desde el mismo origen</t>
        </is>
      </c>
      <c r="F15" s="15" t="inlineStr">
        <is>
          <t>A partir del umbral, HTTP 429</t>
        </is>
      </c>
      <c r="G15" s="16" t="inlineStr">
        <is>
          <t>Cortado en 429 tras superar el umbral</t>
        </is>
      </c>
      <c r="H15" s="16" t="inlineStr">
        <is>
          <t>APROBADA</t>
        </is>
      </c>
      <c r="I15" s="16" t="inlineStr">
        <is>
          <t>—</t>
        </is>
      </c>
      <c r="J15" s="16" t="inlineStr">
        <is>
          <t>e2e/contact.spec.ts</t>
        </is>
      </c>
    </row>
    <row r="16" ht="30" customHeight="1" s="45">
      <c r="A16" s="17" t="inlineStr">
        <is>
          <t>PI-08</t>
        </is>
      </c>
      <c r="B16" s="18" t="inlineStr">
        <is>
          <t>RF-502</t>
        </is>
      </c>
      <c r="C16" s="18" t="inlineStr">
        <is>
          <t>/api/payments/checkout (Wompi)</t>
        </is>
      </c>
      <c r="D16" s="18" t="inlineStr">
        <is>
          <t>La misma clave de idempotencia devuelve el mismo pago</t>
        </is>
      </c>
      <c r="E16" s="18" t="inlineStr">
        <is>
          <t>Dos POST con igual Idempotency-Key y el mismo monto</t>
        </is>
      </c>
      <c r="F16" s="18" t="inlineStr">
        <is>
          <t>Mismo id de pago en ambas respuestas, no se duplica el cobro</t>
        </is>
      </c>
      <c r="G16" s="53" t="inlineStr">
        <is>
          <t>Idempotencia verificada</t>
        </is>
      </c>
      <c r="H16" s="53" t="inlineStr">
        <is>
          <t>APROBADA</t>
        </is>
      </c>
      <c r="I16" s="53" t="inlineStr">
        <is>
          <t>—</t>
        </is>
      </c>
      <c r="J16" s="53" t="inlineStr">
        <is>
          <t>e2e/payments.spec.ts</t>
        </is>
      </c>
    </row>
    <row r="17" ht="30" customHeight="1" s="45">
      <c r="A17" s="14" t="inlineStr">
        <is>
          <t>PI-09</t>
        </is>
      </c>
      <c r="B17" s="15" t="inlineStr">
        <is>
          <t>RF-502</t>
        </is>
      </c>
      <c r="C17" s="15" t="inlineStr">
        <is>
          <t>/api/payments/checkout</t>
        </is>
      </c>
      <c r="D17" s="15" t="inlineStr">
        <is>
          <t>La misma clave con otro monto es un conflicto, no un cobro silencioso</t>
        </is>
      </c>
      <c r="E17" s="15" t="inlineStr">
        <is>
          <t>Dos POST con igual clave, distinto monto</t>
        </is>
      </c>
      <c r="F17" s="15" t="inlineStr">
        <is>
          <t>HTTP 409, no se crea un segundo pago</t>
        </is>
      </c>
      <c r="G17" s="16" t="inlineStr">
        <is>
          <t>Conflicto detectado correctamente</t>
        </is>
      </c>
      <c r="H17" s="16" t="inlineStr">
        <is>
          <t>APROBADA</t>
        </is>
      </c>
      <c r="I17" s="16" t="inlineStr">
        <is>
          <t>—</t>
        </is>
      </c>
      <c r="J17" s="16" t="inlineStr">
        <is>
          <t>e2e/payments.spec.ts</t>
        </is>
      </c>
    </row>
    <row r="18" ht="30" customHeight="1" s="45">
      <c r="A18" s="17" t="inlineStr">
        <is>
          <t>PI-10</t>
        </is>
      </c>
      <c r="B18" s="18" t="inlineStr">
        <is>
          <t>RF-008</t>
        </is>
      </c>
      <c r="C18" s="18" t="inlineStr">
        <is>
          <t>/demo + AsyncLocalStorage (base Turso separada)</t>
        </is>
      </c>
      <c r="D18" s="18" t="inlineStr">
        <is>
          <t>Ningún dato de la base principal aparece en la demo</t>
        </is>
      </c>
      <c r="E18" s="18" t="inlineStr">
        <is>
          <t>Recorrido de las páginas del panel en modo demo</t>
        </is>
      </c>
      <c r="F18" s="18" t="inlineStr">
        <is>
          <t>Solo datos ficticios; cero coincidencias con datos reales sembrados</t>
        </is>
      </c>
      <c r="G18" s="53" t="inlineStr">
        <is>
          <t>Cero fugas detectadas</t>
        </is>
      </c>
      <c r="H18" s="53" t="inlineStr">
        <is>
          <t>APROBADA</t>
        </is>
      </c>
      <c r="I18" s="53" t="inlineStr">
        <is>
          <t>—</t>
        </is>
      </c>
      <c r="J18" s="53" t="inlineStr">
        <is>
          <t>e2e/demo.spec.ts</t>
        </is>
      </c>
    </row>
    <row r="19" ht="30" customHeight="1" s="45">
      <c r="A19" s="14" t="inlineStr">
        <is>
          <t>PI-11</t>
        </is>
      </c>
      <c r="B19" s="15" t="inlineStr">
        <is>
          <t>RF-807</t>
        </is>
      </c>
      <c r="C19" s="15" t="inlineStr">
        <is>
          <t>Portal + capa viva (digest en tiempo real)</t>
        </is>
      </c>
      <c r="D19" s="15" t="inlineStr">
        <is>
          <t>La capa viva del portal late con datos de la base demo</t>
        </is>
      </c>
      <c r="E19" s="15" t="inlineStr">
        <is>
          <t>Sesión demo activa, polling del digest del portal</t>
        </is>
      </c>
      <c r="F19" s="15" t="inlineStr">
        <is>
          <t>HTTP 200 con digest actualizado</t>
        </is>
      </c>
      <c r="G19" s="16" t="inlineStr">
        <is>
          <t>HTTP 401 en vez de 200: la sesión demo se invalida antes de que el polling la consulte</t>
        </is>
      </c>
      <c r="H19" s="16" t="inlineStr">
        <is>
          <t>FALLIDA</t>
        </is>
      </c>
      <c r="I19" s="16" t="inlineStr">
        <is>
          <t>BUG-01</t>
        </is>
      </c>
      <c r="J19" s="16" t="inlineStr">
        <is>
          <t>e2e/portal.spec.ts · playwright-report/ (2026-08-31); provocó el bloqueo en cascada de 3 casos posteriores en el mismo describe.serial</t>
        </is>
      </c>
    </row>
    <row r="20" ht="30" customHeight="1" s="45">
      <c r="A20" s="17" t="inlineStr">
        <is>
          <t>PI-12</t>
        </is>
      </c>
      <c r="B20" s="18" t="inlineStr">
        <is>
          <t>RF-403</t>
        </is>
      </c>
      <c r="C20" s="18" t="inlineStr">
        <is>
          <t>/status</t>
        </is>
      </c>
      <c r="D20" s="18" t="inlineStr">
        <is>
          <t>/status publica uptime y SLO agregados</t>
        </is>
      </c>
      <c r="E20" s="18" t="inlineStr">
        <is>
          <t>GET /status público, sin sesión</t>
        </is>
      </c>
      <c r="F20" s="18" t="inlineStr">
        <is>
          <t>HTTP 200 con métricas agregadas de uptime/SLO, sin IPs ni detalle interno (OPSEC)</t>
        </is>
      </c>
      <c r="G20" s="53" t="inlineStr">
        <is>
          <t>Publicado correctamente</t>
        </is>
      </c>
      <c r="H20" s="53" t="inlineStr">
        <is>
          <t>APROBADA</t>
        </is>
      </c>
      <c r="I20" s="53" t="inlineStr">
        <is>
          <t>—</t>
        </is>
      </c>
      <c r="J20" s="53" t="inlineStr">
        <is>
          <t>e2e/public.spec.ts</t>
        </is>
      </c>
    </row>
    <row r="21" ht="30" customHeight="1" s="45">
      <c r="A21" s="15" t="n"/>
      <c r="B21" s="15" t="n"/>
      <c r="C21" s="15" t="n"/>
      <c r="D21" s="15" t="n"/>
      <c r="E21" s="15" t="n"/>
      <c r="F21" s="15" t="n"/>
      <c r="G21" s="16" t="n"/>
      <c r="H21" s="16" t="n"/>
      <c r="I21" s="16" t="n"/>
      <c r="J21" s="16" t="n"/>
    </row>
    <row r="22" ht="30" customHeight="1" s="45">
      <c r="A22" s="18" t="n"/>
      <c r="B22" s="18" t="n"/>
      <c r="C22" s="18" t="n"/>
      <c r="D22" s="18" t="n"/>
      <c r="E22" s="18" t="n"/>
      <c r="F22" s="18" t="n"/>
      <c r="G22" s="53" t="n"/>
      <c r="H22" s="53" t="n"/>
      <c r="I22" s="53" t="n"/>
      <c r="J22" s="53" t="n"/>
    </row>
    <row r="23" ht="30" customHeight="1" s="45">
      <c r="A23" s="15" t="n"/>
      <c r="B23" s="15" t="n"/>
      <c r="C23" s="15" t="n"/>
      <c r="D23" s="15" t="n"/>
      <c r="E23" s="15" t="n"/>
      <c r="F23" s="15" t="n"/>
      <c r="G23" s="16" t="n"/>
      <c r="H23" s="16" t="n"/>
      <c r="I23" s="16" t="n"/>
      <c r="J23" s="16" t="n"/>
    </row>
    <row r="24" ht="30" customHeight="1" s="45">
      <c r="A24" s="18" t="n"/>
      <c r="B24" s="18" t="n"/>
      <c r="C24" s="18" t="n"/>
      <c r="D24" s="18" t="n"/>
      <c r="E24" s="18" t="n"/>
      <c r="F24" s="18" t="n"/>
      <c r="G24" s="53" t="n"/>
      <c r="H24" s="53" t="n"/>
      <c r="I24" s="53" t="n"/>
      <c r="J24" s="53" t="n"/>
    </row>
    <row r="25" ht="30" customHeight="1" s="45">
      <c r="A25" s="15" t="n"/>
      <c r="B25" s="15" t="n"/>
      <c r="C25" s="15" t="n"/>
      <c r="D25" s="15" t="n"/>
      <c r="E25" s="15" t="n"/>
      <c r="F25" s="15" t="n"/>
      <c r="G25" s="16" t="n"/>
      <c r="H25" s="16" t="n"/>
      <c r="I25" s="16" t="n"/>
      <c r="J25" s="16" t="n"/>
    </row>
    <row r="26" ht="30" customHeight="1" s="45">
      <c r="A26" s="18" t="n"/>
      <c r="B26" s="18" t="n"/>
      <c r="C26" s="18" t="n"/>
      <c r="D26" s="18" t="n"/>
      <c r="E26" s="18" t="n"/>
      <c r="F26" s="18" t="n"/>
      <c r="G26" s="53" t="n"/>
      <c r="H26" s="53" t="n"/>
      <c r="I26" s="53" t="n"/>
      <c r="J26" s="53" t="n"/>
    </row>
    <row r="27" ht="30" customHeight="1" s="45">
      <c r="A27" s="15" t="n"/>
      <c r="B27" s="15" t="n"/>
      <c r="C27" s="15" t="n"/>
      <c r="D27" s="15" t="n"/>
      <c r="E27" s="15" t="n"/>
      <c r="F27" s="15" t="n"/>
      <c r="G27" s="16" t="n"/>
      <c r="H27" s="16" t="n"/>
      <c r="I27" s="16" t="n"/>
      <c r="J27" s="16" t="n"/>
    </row>
    <row r="28" ht="30" customHeight="1" s="45">
      <c r="A28" s="18" t="n"/>
      <c r="B28" s="18" t="n"/>
      <c r="C28" s="18" t="n"/>
      <c r="D28" s="18" t="n"/>
      <c r="E28" s="18" t="n"/>
      <c r="F28" s="18" t="n"/>
      <c r="G28" s="53" t="n"/>
      <c r="H28" s="53" t="n"/>
      <c r="I28" s="53" t="n"/>
      <c r="J28" s="53" t="n"/>
    </row>
    <row r="29" ht="30" customHeight="1" s="45">
      <c r="A29" s="15" t="n"/>
      <c r="B29" s="15" t="n"/>
      <c r="C29" s="15" t="n"/>
      <c r="D29" s="15" t="n"/>
      <c r="E29" s="15" t="n"/>
      <c r="F29" s="15" t="n"/>
      <c r="G29" s="16" t="n"/>
      <c r="H29" s="16" t="n"/>
      <c r="I29" s="16" t="n"/>
      <c r="J29" s="16" t="n"/>
    </row>
    <row r="30" ht="30" customHeight="1" s="45">
      <c r="A30" s="18" t="n"/>
      <c r="B30" s="18" t="n"/>
      <c r="C30" s="18" t="n"/>
      <c r="D30" s="18" t="n"/>
      <c r="E30" s="18" t="n"/>
      <c r="F30" s="18" t="n"/>
      <c r="G30" s="53" t="n"/>
      <c r="H30" s="53" t="n"/>
      <c r="I30" s="53" t="n"/>
      <c r="J30" s="53" t="n"/>
    </row>
    <row r="31" ht="30" customHeight="1" s="45">
      <c r="A31" s="15" t="n"/>
      <c r="B31" s="15" t="n"/>
      <c r="C31" s="15" t="n"/>
      <c r="D31" s="15" t="n"/>
      <c r="E31" s="15" t="n"/>
      <c r="F31" s="15" t="n"/>
      <c r="G31" s="16" t="n"/>
      <c r="H31" s="16" t="n"/>
      <c r="I31" s="16" t="n"/>
      <c r="J31" s="16" t="n"/>
    </row>
    <row r="32" ht="30" customHeight="1" s="45">
      <c r="A32" s="18" t="n"/>
      <c r="B32" s="18" t="n"/>
      <c r="C32" s="18" t="n"/>
      <c r="D32" s="18" t="n"/>
      <c r="E32" s="18" t="n"/>
      <c r="F32" s="18" t="n"/>
      <c r="G32" s="53" t="n"/>
      <c r="H32" s="53" t="n"/>
      <c r="I32" s="53" t="n"/>
      <c r="J32" s="53" t="n"/>
    </row>
    <row r="33" ht="30" customHeight="1" s="45">
      <c r="A33" s="15" t="n"/>
      <c r="B33" s="15" t="n"/>
      <c r="C33" s="15" t="n"/>
      <c r="D33" s="15" t="n"/>
      <c r="E33" s="15" t="n"/>
      <c r="F33" s="15" t="n"/>
      <c r="G33" s="16" t="n"/>
      <c r="H33" s="16" t="n"/>
      <c r="I33" s="16" t="n"/>
      <c r="J33" s="16" t="n"/>
    </row>
    <row r="34" ht="30" customHeight="1" s="45">
      <c r="A34" s="18" t="n"/>
      <c r="B34" s="18" t="n"/>
      <c r="C34" s="18" t="n"/>
      <c r="D34" s="18" t="n"/>
      <c r="E34" s="18" t="n"/>
      <c r="F34" s="18" t="n"/>
      <c r="G34" s="53" t="n"/>
      <c r="H34" s="53" t="n"/>
      <c r="I34" s="53" t="n"/>
      <c r="J34" s="53" t="n"/>
    </row>
    <row r="35" ht="30" customHeight="1" s="45">
      <c r="A35" s="15" t="n"/>
      <c r="B35" s="15" t="n"/>
      <c r="C35" s="15" t="n"/>
      <c r="D35" s="15" t="n"/>
      <c r="E35" s="15" t="n"/>
      <c r="F35" s="15" t="n"/>
      <c r="G35" s="16" t="n"/>
      <c r="H35" s="16" t="n"/>
      <c r="I35" s="16" t="n"/>
      <c r="J35" s="16" t="n"/>
    </row>
    <row r="36" ht="30" customHeight="1" s="45">
      <c r="A36" s="18" t="n"/>
      <c r="B36" s="18" t="n"/>
      <c r="C36" s="18" t="n"/>
      <c r="D36" s="18" t="n"/>
      <c r="E36" s="18" t="n"/>
      <c r="F36" s="18" t="n"/>
      <c r="G36" s="53" t="n"/>
      <c r="H36" s="53" t="n"/>
      <c r="I36" s="53" t="n"/>
      <c r="J36" s="53" t="n"/>
    </row>
    <row r="37" ht="30" customHeight="1" s="45">
      <c r="A37" s="15" t="n"/>
      <c r="B37" s="15" t="n"/>
      <c r="C37" s="15" t="n"/>
      <c r="D37" s="15" t="n"/>
      <c r="E37" s="15" t="n"/>
      <c r="F37" s="15" t="n"/>
      <c r="G37" s="16" t="n"/>
      <c r="H37" s="16" t="n"/>
      <c r="I37" s="16" t="n"/>
      <c r="J37" s="16" t="n"/>
    </row>
    <row r="38" ht="30" customHeight="1" s="45">
      <c r="A38" s="18" t="n"/>
      <c r="B38" s="18" t="n"/>
      <c r="C38" s="18" t="n"/>
      <c r="D38" s="18" t="n"/>
      <c r="E38" s="18" t="n"/>
      <c r="F38" s="18" t="n"/>
      <c r="G38" s="53" t="n"/>
      <c r="H38" s="53" t="n"/>
      <c r="I38" s="53" t="n"/>
      <c r="J38" s="53" t="n"/>
    </row>
    <row r="39" ht="30" customHeight="1" s="45">
      <c r="A39" s="15" t="n"/>
      <c r="B39" s="15" t="n"/>
      <c r="C39" s="15" t="n"/>
      <c r="D39" s="15" t="n"/>
      <c r="E39" s="15" t="n"/>
      <c r="F39" s="15" t="n"/>
      <c r="G39" s="16" t="n"/>
      <c r="H39" s="16" t="n"/>
      <c r="I39" s="16" t="n"/>
      <c r="J39" s="16" t="n"/>
    </row>
    <row r="40" ht="30" customHeight="1" s="45">
      <c r="A40" s="18" t="n"/>
      <c r="B40" s="18" t="n"/>
      <c r="C40" s="18" t="n"/>
      <c r="D40" s="18" t="n"/>
      <c r="E40" s="18" t="n"/>
      <c r="F40" s="18" t="n"/>
      <c r="G40" s="53" t="n"/>
      <c r="H40" s="53" t="n"/>
      <c r="I40" s="53" t="n"/>
      <c r="J40" s="53" t="n"/>
    </row>
    <row r="41" ht="30" customHeight="1" s="45">
      <c r="A41" s="15" t="n"/>
      <c r="B41" s="15" t="n"/>
      <c r="C41" s="15" t="n"/>
      <c r="D41" s="15" t="n"/>
      <c r="E41" s="15" t="n"/>
      <c r="F41" s="15" t="n"/>
      <c r="G41" s="16" t="n"/>
      <c r="H41" s="16" t="n"/>
      <c r="I41" s="16" t="n"/>
      <c r="J41" s="16" t="n"/>
    </row>
    <row r="42" ht="30" customHeight="1" s="45">
      <c r="A42" s="18" t="n"/>
      <c r="B42" s="18" t="n"/>
      <c r="C42" s="18" t="n"/>
      <c r="D42" s="18" t="n"/>
      <c r="E42" s="18" t="n"/>
      <c r="F42" s="18" t="n"/>
      <c r="G42" s="53" t="n"/>
      <c r="H42" s="53" t="n"/>
      <c r="I42" s="53" t="n"/>
      <c r="J42" s="53" t="n"/>
    </row>
    <row r="43" ht="30" customHeight="1" s="45">
      <c r="A43" s="15" t="n"/>
      <c r="B43" s="15" t="n"/>
      <c r="C43" s="15" t="n"/>
      <c r="D43" s="15" t="n"/>
      <c r="E43" s="15" t="n"/>
      <c r="F43" s="15" t="n"/>
      <c r="G43" s="16" t="n"/>
      <c r="H43" s="16" t="n"/>
      <c r="I43" s="16" t="n"/>
      <c r="J43" s="16" t="n"/>
    </row>
    <row r="44" ht="30" customHeight="1" s="45">
      <c r="A44" s="18" t="n"/>
      <c r="B44" s="18" t="n"/>
      <c r="C44" s="18" t="n"/>
      <c r="D44" s="18" t="n"/>
      <c r="E44" s="18" t="n"/>
      <c r="F44" s="18" t="n"/>
      <c r="G44" s="53" t="n"/>
      <c r="H44" s="53" t="n"/>
      <c r="I44" s="53" t="n"/>
      <c r="J44" s="53" t="n"/>
    </row>
    <row r="45" ht="30" customHeight="1" s="45">
      <c r="A45" s="15" t="n"/>
      <c r="B45" s="15" t="n"/>
      <c r="C45" s="15" t="n"/>
      <c r="D45" s="15" t="n"/>
      <c r="E45" s="15" t="n"/>
      <c r="F45" s="15" t="n"/>
      <c r="G45" s="16" t="n"/>
      <c r="H45" s="16" t="n"/>
      <c r="I45" s="16" t="n"/>
      <c r="J45" s="16" t="n"/>
    </row>
    <row r="46" ht="30" customHeight="1" s="45">
      <c r="A46" s="18" t="n"/>
      <c r="B46" s="18" t="n"/>
      <c r="C46" s="18" t="n"/>
      <c r="D46" s="18" t="n"/>
      <c r="E46" s="18" t="n"/>
      <c r="F46" s="18" t="n"/>
      <c r="G46" s="53" t="n"/>
      <c r="H46" s="53" t="n"/>
      <c r="I46" s="53" t="n"/>
      <c r="J46" s="53" t="n"/>
    </row>
    <row r="47" ht="30" customHeight="1" s="45">
      <c r="A47" s="15" t="n"/>
      <c r="B47" s="15" t="n"/>
      <c r="C47" s="15" t="n"/>
      <c r="D47" s="15" t="n"/>
      <c r="E47" s="15" t="n"/>
      <c r="F47" s="15" t="n"/>
      <c r="G47" s="16" t="n"/>
      <c r="H47" s="16" t="n"/>
      <c r="I47" s="16" t="n"/>
      <c r="J47" s="16" t="n"/>
    </row>
    <row r="48" ht="30" customHeight="1" s="45">
      <c r="A48" s="18" t="n"/>
      <c r="B48" s="18" t="n"/>
      <c r="C48" s="18" t="n"/>
      <c r="D48" s="18" t="n"/>
      <c r="E48" s="18" t="n"/>
      <c r="F48" s="18" t="n"/>
      <c r="G48" s="53" t="n"/>
      <c r="H48" s="53" t="n"/>
      <c r="I48" s="53" t="n"/>
      <c r="J48" s="53" t="n"/>
    </row>
    <row r="49" ht="30" customHeight="1" s="45">
      <c r="A49" s="15" t="n"/>
      <c r="B49" s="15" t="n"/>
      <c r="C49" s="15" t="n"/>
      <c r="D49" s="15" t="n"/>
      <c r="E49" s="15" t="n"/>
      <c r="F49" s="15" t="n"/>
      <c r="G49" s="16" t="n"/>
      <c r="H49" s="16" t="n"/>
      <c r="I49" s="16" t="n"/>
      <c r="J49" s="16" t="n"/>
    </row>
    <row r="50" ht="30" customHeight="1" s="45">
      <c r="A50" s="18" t="n"/>
      <c r="B50" s="18" t="n"/>
      <c r="C50" s="18" t="n"/>
      <c r="D50" s="18" t="n"/>
      <c r="E50" s="18" t="n"/>
      <c r="F50" s="18" t="n"/>
      <c r="G50" s="53" t="n"/>
      <c r="H50" s="53" t="n"/>
      <c r="I50" s="53" t="n"/>
      <c r="J50" s="53" t="n"/>
    </row>
    <row r="51" ht="30" customHeight="1" s="45">
      <c r="A51" s="15" t="n"/>
      <c r="B51" s="15" t="n"/>
      <c r="C51" s="15" t="n"/>
      <c r="D51" s="15" t="n"/>
      <c r="E51" s="15" t="n"/>
      <c r="F51" s="15" t="n"/>
      <c r="G51" s="16" t="n"/>
      <c r="H51" s="16" t="n"/>
      <c r="I51" s="16" t="n"/>
      <c r="J51" s="16" t="n"/>
    </row>
    <row r="52" ht="30" customHeight="1" s="45">
      <c r="A52" s="18" t="n"/>
      <c r="B52" s="18" t="n"/>
      <c r="C52" s="18" t="n"/>
      <c r="D52" s="18" t="n"/>
      <c r="E52" s="18" t="n"/>
      <c r="F52" s="18" t="n"/>
      <c r="G52" s="53" t="n"/>
      <c r="H52" s="53" t="n"/>
      <c r="I52" s="53" t="n"/>
      <c r="J52" s="53" t="n"/>
    </row>
    <row r="53" ht="30" customHeight="1" s="45">
      <c r="A53" s="15" t="n"/>
      <c r="B53" s="15" t="n"/>
      <c r="C53" s="15" t="n"/>
      <c r="D53" s="15" t="n"/>
      <c r="E53" s="15" t="n"/>
      <c r="F53" s="15" t="n"/>
      <c r="G53" s="16" t="n"/>
      <c r="H53" s="16" t="n"/>
      <c r="I53" s="16" t="n"/>
      <c r="J53" s="16" t="n"/>
    </row>
    <row r="54" ht="30" customHeight="1" s="45">
      <c r="A54" s="18" t="n"/>
      <c r="B54" s="18" t="n"/>
      <c r="C54" s="18" t="n"/>
      <c r="D54" s="18" t="n"/>
      <c r="E54" s="18" t="n"/>
      <c r="F54" s="18" t="n"/>
      <c r="G54" s="53" t="n"/>
      <c r="H54" s="53" t="n"/>
      <c r="I54" s="53" t="n"/>
      <c r="J54" s="53" t="n"/>
    </row>
    <row r="55" ht="30" customHeight="1" s="45">
      <c r="A55" s="15" t="n"/>
      <c r="B55" s="15" t="n"/>
      <c r="C55" s="15" t="n"/>
      <c r="D55" s="15" t="n"/>
      <c r="E55" s="15" t="n"/>
      <c r="F55" s="15" t="n"/>
      <c r="G55" s="16" t="n"/>
      <c r="H55" s="16" t="n"/>
      <c r="I55" s="16" t="n"/>
      <c r="J55" s="16" t="n"/>
    </row>
    <row r="56" ht="30" customHeight="1" s="45">
      <c r="A56" s="18" t="n"/>
      <c r="B56" s="18" t="n"/>
      <c r="C56" s="18" t="n"/>
      <c r="D56" s="18" t="n"/>
      <c r="E56" s="18" t="n"/>
      <c r="F56" s="18" t="n"/>
      <c r="G56" s="53" t="n"/>
      <c r="H56" s="53" t="n"/>
      <c r="I56" s="53" t="n"/>
      <c r="J56" s="53" t="n"/>
    </row>
    <row r="57" ht="30" customHeight="1" s="45">
      <c r="A57" s="15" t="n"/>
      <c r="B57" s="15" t="n"/>
      <c r="C57" s="15" t="n"/>
      <c r="D57" s="15" t="n"/>
      <c r="E57" s="15" t="n"/>
      <c r="F57" s="15" t="n"/>
      <c r="G57" s="16" t="n"/>
      <c r="H57" s="16" t="n"/>
      <c r="I57" s="16" t="n"/>
      <c r="J57" s="16" t="n"/>
    </row>
    <row r="58" ht="30" customHeight="1" s="45">
      <c r="A58" s="18" t="n"/>
      <c r="B58" s="18" t="n"/>
      <c r="C58" s="18" t="n"/>
      <c r="D58" s="18" t="n"/>
      <c r="E58" s="18" t="n"/>
      <c r="F58" s="18" t="n"/>
      <c r="G58" s="53" t="n"/>
      <c r="H58" s="53" t="n"/>
      <c r="I58" s="53" t="n"/>
      <c r="J58" s="53" t="n"/>
    </row>
    <row r="59" ht="30" customHeight="1" s="45">
      <c r="A59" s="15" t="n"/>
      <c r="B59" s="15" t="n"/>
      <c r="C59" s="15" t="n"/>
      <c r="D59" s="15" t="n"/>
      <c r="E59" s="15" t="n"/>
      <c r="F59" s="15" t="n"/>
      <c r="G59" s="16" t="n"/>
      <c r="H59" s="16" t="n"/>
      <c r="I59" s="16" t="n"/>
      <c r="J59" s="16" t="n"/>
    </row>
    <row r="60" ht="30" customHeight="1" s="45">
      <c r="A60" s="18" t="n"/>
      <c r="B60" s="18" t="n"/>
      <c r="C60" s="18" t="n"/>
      <c r="D60" s="18" t="n"/>
      <c r="E60" s="18" t="n"/>
      <c r="F60" s="18" t="n"/>
      <c r="G60" s="53" t="n"/>
      <c r="H60" s="53" t="n"/>
      <c r="I60" s="53" t="n"/>
      <c r="J60" s="53" t="n"/>
    </row>
    <row r="61" ht="30" customHeight="1" s="45">
      <c r="A61" s="15" t="n"/>
      <c r="B61" s="15" t="n"/>
      <c r="C61" s="15" t="n"/>
      <c r="D61" s="15" t="n"/>
      <c r="E61" s="15" t="n"/>
      <c r="F61" s="15" t="n"/>
      <c r="G61" s="16" t="n"/>
      <c r="H61" s="16" t="n"/>
      <c r="I61" s="16" t="n"/>
      <c r="J61" s="16" t="n"/>
    </row>
    <row r="62" ht="30" customHeight="1" s="45">
      <c r="A62" s="18" t="n"/>
      <c r="B62" s="18" t="n"/>
      <c r="C62" s="18" t="n"/>
      <c r="D62" s="18" t="n"/>
      <c r="E62" s="18" t="n"/>
      <c r="F62" s="18" t="n"/>
      <c r="G62" s="53" t="n"/>
      <c r="H62" s="53" t="n"/>
      <c r="I62" s="53" t="n"/>
      <c r="J62" s="53" t="n"/>
    </row>
    <row r="63" ht="30" customHeight="1" s="45">
      <c r="A63" s="15" t="n"/>
      <c r="B63" s="15" t="n"/>
      <c r="C63" s="15" t="n"/>
      <c r="D63" s="15" t="n"/>
      <c r="E63" s="15" t="n"/>
      <c r="F63" s="15" t="n"/>
      <c r="G63" s="16" t="n"/>
      <c r="H63" s="16" t="n"/>
      <c r="I63" s="16" t="n"/>
      <c r="J63" s="16" t="n"/>
    </row>
    <row r="64" ht="30" customHeight="1" s="45">
      <c r="A64" s="18" t="n"/>
      <c r="B64" s="18" t="n"/>
      <c r="C64" s="18" t="n"/>
      <c r="D64" s="18" t="n"/>
      <c r="E64" s="18" t="n"/>
      <c r="F64" s="18" t="n"/>
      <c r="G64" s="53" t="n"/>
      <c r="H64" s="53" t="n"/>
      <c r="I64" s="53" t="n"/>
      <c r="J64" s="53" t="n"/>
    </row>
    <row r="65" ht="30" customHeight="1" s="45">
      <c r="A65" s="15" t="n"/>
      <c r="B65" s="15" t="n"/>
      <c r="C65" s="15" t="n"/>
      <c r="D65" s="15" t="n"/>
      <c r="E65" s="15" t="n"/>
      <c r="F65" s="15" t="n"/>
      <c r="G65" s="16" t="n"/>
      <c r="H65" s="16" t="n"/>
      <c r="I65" s="16" t="n"/>
      <c r="J65" s="16" t="n"/>
    </row>
    <row r="66" ht="30" customHeight="1" s="45">
      <c r="A66" s="18" t="n"/>
      <c r="B66" s="18" t="n"/>
      <c r="C66" s="18" t="n"/>
      <c r="D66" s="18" t="n"/>
      <c r="E66" s="18" t="n"/>
      <c r="F66" s="18" t="n"/>
      <c r="G66" s="53" t="n"/>
      <c r="H66" s="53" t="n"/>
      <c r="I66" s="53" t="n"/>
      <c r="J66" s="53" t="n"/>
    </row>
    <row r="67" ht="30" customHeight="1" s="45">
      <c r="A67" s="15" t="n"/>
      <c r="B67" s="15" t="n"/>
      <c r="C67" s="15" t="n"/>
      <c r="D67" s="15" t="n"/>
      <c r="E67" s="15" t="n"/>
      <c r="F67" s="15" t="n"/>
      <c r="G67" s="16" t="n"/>
      <c r="H67" s="16" t="n"/>
      <c r="I67" s="16" t="n"/>
      <c r="J67" s="16" t="n"/>
    </row>
  </sheetData>
  <mergeCells count="2">
    <mergeCell ref="A6:J6"/>
    <mergeCell ref="A1:J1"/>
  </mergeCells>
  <conditionalFormatting sqref="H8:H67">
    <cfRule type="cellIs" priority="1" operator="equal" dxfId="1">
      <formula>"APROBADA"</formula>
    </cfRule>
    <cfRule type="cellIs" priority="2" operator="equal" dxfId="0">
      <formula>"FALLIDA"</formula>
    </cfRule>
    <cfRule type="cellIs" priority="3" operator="equal" dxfId="3">
      <formula>"OBSERVACION"</formula>
    </cfRule>
    <cfRule type="cellIs" priority="4" operator="equal" dxfId="2">
      <formula>"BLOQUEADA"</formula>
    </cfRule>
  </conditionalFormatting>
  <dataValidations count="1">
    <dataValidation sqref="H8:H67" showDropDown="0" showInputMessage="0" showErrorMessage="0" allowBlank="1" errorTitle="Estado no valido" error="Elija: APROBADA, FALLIDA, BLOQUEADA u OBSERVACION." type="list">
      <formula1>"APROBADA,FALLIDA,BLOQUEADA,OBSERVACION"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7"/>
  <sheetViews>
    <sheetView workbookViewId="0">
      <pane ySplit="7" topLeftCell="A16" activePane="bottomLeft" state="frozen"/>
      <selection pane="bottomLeft" activeCell="A1" sqref="A1:K1"/>
    </sheetView>
  </sheetViews>
  <sheetFormatPr baseColWidth="10" defaultColWidth="9.1796875" defaultRowHeight="14.5"/>
  <cols>
    <col width="8" customWidth="1" style="45" min="1" max="1"/>
    <col width="24" customWidth="1" style="45" min="2" max="2"/>
    <col width="11" customWidth="1" style="45" min="3" max="3"/>
    <col width="26" customWidth="1" style="45" min="4" max="4"/>
    <col width="10" customWidth="1" style="45" min="5" max="5"/>
    <col width="12" customWidth="1" style="45" min="6" max="7"/>
    <col width="13" customWidth="1" style="45" min="8" max="8"/>
    <col width="11" customWidth="1" style="45" min="9" max="9"/>
    <col width="14" customWidth="1" style="45" min="10" max="10"/>
    <col width="36" customWidth="1" style="45" min="11" max="11"/>
  </cols>
  <sheetData>
    <row r="1" ht="26.15" customHeight="1" s="45">
      <c r="A1" s="46" t="inlineStr">
        <is>
          <t>M3 · MATRIZ DE PRUEBAS DE CARGA · portfolio (codebymike.tech)</t>
        </is>
      </c>
    </row>
    <row r="3">
      <c r="A3" s="9" t="inlineStr">
        <is>
          <t>Sistema:</t>
        </is>
      </c>
      <c r="B3" s="10" t="inlineStr">
        <is>
          <t>http://127.0.0.1:4400 (npm run dev:carga)</t>
        </is>
      </c>
      <c r="D3" s="9" t="inlineStr">
        <is>
          <t>Herramienta:</t>
        </is>
      </c>
      <c r="E3" s="10" t="inlineStr">
        <is>
          <t>Apache k6 · lab/k6/carga.js</t>
        </is>
      </c>
    </row>
    <row r="4">
      <c r="A4" s="9" t="inlineStr">
        <is>
          <t>Entorno:</t>
        </is>
      </c>
      <c r="B4" s="10" t="inlineStr">
        <is>
          <t>Node 22.22.3 · Astro 7 dev · sqld local (Turso) en Docker</t>
        </is>
      </c>
      <c r="D4" s="9" t="inlineStr">
        <is>
          <t>2026-08-10</t>
        </is>
      </c>
      <c r="E4" s="10" t="n"/>
    </row>
    <row r="5">
      <c r="A5" s="9" t="inlineStr">
        <is>
          <t>Perfil de carga:</t>
        </is>
      </c>
      <c r="B5" s="10" t="inlineStr">
        <is>
          <t>Escalera de concurrencia 10→1000 VUs (ramping-vus), rampa 10s + meseta 20s por nivel; métricas tomadas solo en meseta</t>
        </is>
      </c>
      <c r="D5" s="9" t="inlineStr">
        <is>
          <t>Responsable:</t>
        </is>
      </c>
      <c r="E5" s="10" t="inlineStr">
        <is>
          <t>Mike (@mikerb95)</t>
        </is>
      </c>
    </row>
    <row r="6" ht="26.15" customHeight="1" s="45">
      <c r="A6" s="52" t="inlineStr">
        <is>
          <t>Nota · El único umbral formal del script (lab/k6/carga.js) es sobre el nivel 25 VUs, la concurrencia que el proyecto declara soportar (portafolio + portal de pocos clientes): p95&lt;800ms y tasa de error&lt;1%. Los demás niveles (10 a 1000 VUs) caracterizan la curva de capacidad y NO tienen umbral de aprobación: se registran como OBSERVACION. Fuente: lab/k6/resultados/carga-2026-08-10T05-26-20-277Z.json.</t>
        </is>
      </c>
      <c r="B6" s="55" t="n"/>
      <c r="C6" s="55" t="n"/>
      <c r="D6" s="55" t="n"/>
      <c r="E6" s="55" t="n"/>
      <c r="F6" s="55" t="n"/>
      <c r="G6" s="55" t="n"/>
      <c r="H6" s="55" t="n"/>
      <c r="I6" s="55" t="n"/>
      <c r="J6" s="55" t="n"/>
      <c r="K6" s="56" t="n"/>
    </row>
    <row r="7" ht="32.15" customHeight="1" s="45">
      <c r="A7" s="54" t="inlineStr">
        <is>
          <t>ID</t>
        </is>
      </c>
      <c r="B7" s="54" t="inlineStr">
        <is>
          <t>Escenario</t>
        </is>
      </c>
      <c r="C7" s="54" t="inlineStr">
        <is>
          <t>Usuarios</t>
        </is>
      </c>
      <c r="D7" s="54" t="inlineStr">
        <is>
          <t>Métrica</t>
        </is>
      </c>
      <c r="E7" s="54" t="inlineStr">
        <is>
          <t>Criterio</t>
        </is>
      </c>
      <c r="F7" s="54" t="inlineStr">
        <is>
          <t>Objetivo</t>
        </is>
      </c>
      <c r="G7" s="54" t="inlineStr">
        <is>
          <t>Obtenido</t>
        </is>
      </c>
      <c r="H7" s="54" t="inlineStr">
        <is>
          <t>Desviación</t>
        </is>
      </c>
      <c r="I7" s="54" t="inlineStr">
        <is>
          <t>Cumple</t>
        </is>
      </c>
      <c r="J7" s="54" t="inlineStr">
        <is>
          <t>Estado</t>
        </is>
      </c>
      <c r="K7" s="54" t="inlineStr">
        <is>
          <t>Observación</t>
        </is>
      </c>
    </row>
    <row r="8" ht="30" customHeight="1" s="45">
      <c r="A8" s="12" t="n"/>
      <c r="B8" s="13" t="n"/>
      <c r="C8" s="12" t="n"/>
      <c r="D8" s="13" t="n"/>
      <c r="E8" s="12" t="n"/>
      <c r="F8" s="12" t="n"/>
      <c r="G8" s="12" t="n"/>
      <c r="H8" s="20" t="n"/>
      <c r="I8" s="12" t="n"/>
      <c r="J8" s="12" t="n"/>
      <c r="K8" s="13" t="n"/>
    </row>
    <row r="9" ht="30" customHeight="1" s="45">
      <c r="A9" s="14" t="inlineStr">
        <is>
          <t>PC-01</t>
        </is>
      </c>
      <c r="B9" s="15" t="inlineStr">
        <is>
          <t>Mezcla de rutas públicas (/, /status, /api/health, /tools)</t>
        </is>
      </c>
      <c r="C9" s="14" t="n">
        <v>25</v>
      </c>
      <c r="D9" s="15" t="inlineStr">
        <is>
          <t>Percentil 95 (ms)</t>
        </is>
      </c>
      <c r="E9" s="14" t="inlineStr">
        <is>
          <t>&lt;=</t>
        </is>
      </c>
      <c r="F9" s="14" t="n">
        <v>800</v>
      </c>
      <c r="G9" s="16" t="n">
        <v>2591</v>
      </c>
      <c r="H9" s="21">
        <f>IF(OR(F9="",G9=""),"",IFERROR((G9-F9)/F9,""))</f>
        <v/>
      </c>
      <c r="I9" s="14">
        <f>IF(OR(F9="",G9=""),"",IF(E9="&lt;=",IF(G9&lt;=F9,"SI","NO"),IF(G9&gt;=F9,"SI","NO")))</f>
        <v/>
      </c>
      <c r="J9" s="15" t="inlineStr">
        <is>
          <t>FALLIDA</t>
        </is>
      </c>
      <c r="K9" s="15" t="inlineStr">
        <is>
          <t>Umbral formal del script (nivel_25). El p95 real más que triplica el objetivo.</t>
        </is>
      </c>
    </row>
    <row r="10" ht="30" customHeight="1" s="45">
      <c r="A10" s="17" t="inlineStr">
        <is>
          <t>PC-02</t>
        </is>
      </c>
      <c r="B10" s="18" t="inlineStr">
        <is>
          <t>Mezcla de rutas públicas</t>
        </is>
      </c>
      <c r="C10" s="17" t="n">
        <v>25</v>
      </c>
      <c r="D10" s="18" t="inlineStr">
        <is>
          <t>Tasa de error (%)</t>
        </is>
      </c>
      <c r="E10" s="17" t="inlineStr">
        <is>
          <t>&lt;=</t>
        </is>
      </c>
      <c r="F10" s="17" t="n">
        <v>1</v>
      </c>
      <c r="G10" s="53" t="n">
        <v>0</v>
      </c>
      <c r="H10" s="22">
        <f>IF(OR(F10="",G10=""),"",IFERROR((G10-F10)/F10,""))</f>
        <v/>
      </c>
      <c r="I10" s="17">
        <f>IF(OR(F10="",G10=""),"",IF(E10="&lt;=",IF(G10&lt;=F10,"SI","NO"),IF(G10&gt;=F10,"SI","NO")))</f>
        <v/>
      </c>
      <c r="J10" s="18" t="inlineStr">
        <is>
          <t>APROBADA</t>
        </is>
      </c>
      <c r="K10" s="18" t="inlineStr">
        <is>
          <t>Umbral formal del script (nivel_25). Cero errores pese al p95 fuera de rango: el sistema responde lento pero correcto.</t>
        </is>
      </c>
    </row>
    <row r="11" ht="30" customHeight="1" s="45">
      <c r="A11" s="14" t="inlineStr">
        <is>
          <t>PC-03</t>
        </is>
      </c>
      <c r="B11" s="15" t="inlineStr">
        <is>
          <t>Mezcla de rutas públicas</t>
        </is>
      </c>
      <c r="C11" s="14" t="n">
        <v>10</v>
      </c>
      <c r="D11" s="15" t="inlineStr">
        <is>
          <t>Percentil 95 (ms)</t>
        </is>
      </c>
      <c r="E11" s="14" t="inlineStr">
        <is>
          <t>&lt;=</t>
        </is>
      </c>
      <c r="F11" s="14" t="n">
        <v>700</v>
      </c>
      <c r="G11" s="16" t="n">
        <v>1043.9</v>
      </c>
      <c r="H11" s="21">
        <f>IF(OR(F11="",G11=""),"",IFERROR((G11-F11)/F11,""))</f>
        <v/>
      </c>
      <c r="I11" s="14">
        <f>IF(OR(F11="",G11=""),"",IF(E11="&lt;=",IF(G11&lt;=F11,"SI","NO"),IF(G11&gt;=F11,"SI","NO")))</f>
        <v/>
      </c>
      <c r="J11" s="15" t="inlineStr">
        <is>
          <t>OBSERVACION</t>
        </is>
      </c>
      <c r="K11" s="15" t="inlineStr">
        <is>
          <t>Nivel exploratorio, sin umbral de aprobación formal. Ya por encima de 1s con solo 10 VUs.</t>
        </is>
      </c>
    </row>
    <row r="12" ht="30" customHeight="1" s="45">
      <c r="A12" s="17" t="inlineStr">
        <is>
          <t>PC-04</t>
        </is>
      </c>
      <c r="B12" s="18" t="inlineStr">
        <is>
          <t>Mezcla de rutas públicas</t>
        </is>
      </c>
      <c r="C12" s="17" t="n">
        <v>50</v>
      </c>
      <c r="D12" s="18" t="inlineStr">
        <is>
          <t>Percentil 95 (ms)</t>
        </is>
      </c>
      <c r="E12" s="17" t="inlineStr">
        <is>
          <t>&lt;=</t>
        </is>
      </c>
      <c r="F12" s="17" t="n">
        <v>1000</v>
      </c>
      <c r="G12" s="53" t="n">
        <v>8340.200000000001</v>
      </c>
      <c r="H12" s="22">
        <f>IF(OR(F12="",G12=""),"",IFERROR((G12-F12)/F12,""))</f>
        <v/>
      </c>
      <c r="I12" s="17">
        <f>IF(OR(F12="",G12=""),"",IF(E12="&lt;=",IF(G12&lt;=F12,"SI","NO"),IF(G12&gt;=F12,"SI","NO")))</f>
        <v/>
      </c>
      <c r="J12" s="18" t="inlineStr">
        <is>
          <t>OBSERVACION</t>
        </is>
      </c>
      <c r="K12" s="18" t="inlineStr">
        <is>
          <t>La latencia escala fuertemente a partir de 50 VUs (8.3s de p95).</t>
        </is>
      </c>
    </row>
    <row r="13" ht="30" customHeight="1" s="45">
      <c r="A13" s="14" t="inlineStr">
        <is>
          <t>PC-05</t>
        </is>
      </c>
      <c r="B13" s="15" t="inlineStr">
        <is>
          <t>Mezcla de rutas públicas</t>
        </is>
      </c>
      <c r="C13" s="14" t="n">
        <v>100</v>
      </c>
      <c r="D13" s="15" t="inlineStr">
        <is>
          <t>Percentil 95 (ms)</t>
        </is>
      </c>
      <c r="E13" s="14" t="inlineStr">
        <is>
          <t>&lt;=</t>
        </is>
      </c>
      <c r="F13" s="14" t="n">
        <v>2500</v>
      </c>
      <c r="G13" s="16" t="n">
        <v>10001.1</v>
      </c>
      <c r="H13" s="21">
        <f>IF(OR(F13="",G13=""),"",IFERROR((G13-F13)/F13,""))</f>
        <v/>
      </c>
      <c r="I13" s="14">
        <f>IF(OR(F13="",G13=""),"",IF(E13="&lt;=",IF(G13&lt;=F13,"SI","NO"),IF(G13&gt;=F13,"SI","NO")))</f>
        <v/>
      </c>
      <c r="J13" s="15" t="inlineStr">
        <is>
          <t>OBSERVACION</t>
        </is>
      </c>
      <c r="K13" s="15" t="inlineStr">
        <is>
          <t>p95 en el techo del timeout de k6 (10s): el servicio ya no responde a tiempo.</t>
        </is>
      </c>
    </row>
    <row r="14" ht="30" customHeight="1" s="45">
      <c r="A14" s="17" t="inlineStr">
        <is>
          <t>PC-06</t>
        </is>
      </c>
      <c r="B14" s="18" t="inlineStr">
        <is>
          <t>Mezcla de rutas públicas</t>
        </is>
      </c>
      <c r="C14" s="17" t="n">
        <v>100</v>
      </c>
      <c r="D14" s="18" t="inlineStr">
        <is>
          <t>Tasa de error (%)</t>
        </is>
      </c>
      <c r="E14" s="17" t="inlineStr">
        <is>
          <t>&lt;=</t>
        </is>
      </c>
      <c r="F14" s="17" t="n">
        <v>1</v>
      </c>
      <c r="G14" s="53" t="n">
        <v>26.8</v>
      </c>
      <c r="H14" s="22">
        <f>IF(OR(F14="",G14=""),"",IFERROR((G14-F14)/F14,""))</f>
        <v/>
      </c>
      <c r="I14" s="17">
        <f>IF(OR(F14="",G14=""),"",IF(E14="&lt;=",IF(G14&lt;=F14,"SI","NO"),IF(G14&gt;=F14,"SI","NO")))</f>
        <v/>
      </c>
      <c r="J14" s="18" t="inlineStr">
        <is>
          <t>OBSERVACION</t>
        </is>
      </c>
      <c r="K14" s="18" t="inlineStr">
        <is>
          <t>Primeros errores visibles en 100 VUs (26.8%).</t>
        </is>
      </c>
    </row>
    <row r="15" ht="30" customHeight="1" s="45">
      <c r="A15" s="14" t="inlineStr">
        <is>
          <t>PC-07</t>
        </is>
      </c>
      <c r="B15" s="15" t="inlineStr">
        <is>
          <t>Mezcla de rutas públicas</t>
        </is>
      </c>
      <c r="C15" s="14" t="n">
        <v>250</v>
      </c>
      <c r="D15" s="15" t="inlineStr">
        <is>
          <t>Tasa de error (%)</t>
        </is>
      </c>
      <c r="E15" s="14" t="inlineStr">
        <is>
          <t>&lt;=</t>
        </is>
      </c>
      <c r="F15" s="14" t="n">
        <v>800</v>
      </c>
      <c r="G15" s="16" t="n">
        <v>60</v>
      </c>
      <c r="H15" s="21">
        <f>IF(OR(F15="",G15=""),"",IFERROR((G15-F15)/F15,""))</f>
        <v/>
      </c>
      <c r="I15" s="14">
        <f>IF(OR(F15="",G15=""),"",IF(E15="&lt;=",IF(G15&lt;=F15,"SI","NO"),IF(G15&gt;=F15,"SI","NO")))</f>
        <v/>
      </c>
      <c r="J15" s="15" t="inlineStr">
        <is>
          <t>OBSERVACION</t>
        </is>
      </c>
      <c r="K15" s="15" t="inlineStr">
        <is>
          <t>Mayoría de peticiones ya fallan a 250 VUs.</t>
        </is>
      </c>
    </row>
    <row r="16" ht="30" customHeight="1" s="45">
      <c r="A16" s="17" t="inlineStr">
        <is>
          <t>PC-08</t>
        </is>
      </c>
      <c r="B16" s="18" t="inlineStr">
        <is>
          <t>Mezcla de rutas públicas</t>
        </is>
      </c>
      <c r="C16" s="17" t="n">
        <v>500</v>
      </c>
      <c r="D16" s="18" t="inlineStr">
        <is>
          <t>Tasa de error (%)</t>
        </is>
      </c>
      <c r="E16" s="17" t="inlineStr">
        <is>
          <t>&lt;=</t>
        </is>
      </c>
      <c r="F16" s="17" t="n">
        <v>1200</v>
      </c>
      <c r="G16" s="53" t="n">
        <v>93.09999999999999</v>
      </c>
      <c r="H16" s="22">
        <f>IF(OR(F16="",G16=""),"",IFERROR((G16-F16)/F16,""))</f>
        <v/>
      </c>
      <c r="I16" s="17">
        <f>IF(OR(F16="",G16=""),"",IF(E16="&lt;=",IF(G16&lt;=F16,"SI","NO"),IF(G16&gt;=F16,"SI","NO")))</f>
        <v/>
      </c>
      <c r="J16" s="18" t="inlineStr">
        <is>
          <t>OBSERVACION</t>
        </is>
      </c>
      <c r="K16" s="18" t="inlineStr">
        <is>
          <t>Servicio prácticamente caído a 500 VUs.</t>
        </is>
      </c>
    </row>
    <row r="17" ht="30" customHeight="1" s="45">
      <c r="A17" s="14" t="inlineStr">
        <is>
          <t>PC-09</t>
        </is>
      </c>
      <c r="B17" s="15" t="inlineStr">
        <is>
          <t>Mezcla de rutas públicas</t>
        </is>
      </c>
      <c r="C17" s="14" t="n">
        <v>1000</v>
      </c>
      <c r="D17" s="15" t="inlineStr">
        <is>
          <t>Tasa de error (%)</t>
        </is>
      </c>
      <c r="E17" s="14" t="inlineStr">
        <is>
          <t>&lt;=</t>
        </is>
      </c>
      <c r="F17" s="14" t="n">
        <v>3000</v>
      </c>
      <c r="G17" s="16" t="n">
        <v>100</v>
      </c>
      <c r="H17" s="21">
        <f>IF(OR(F17="",G17=""),"",IFERROR((G17-F17)/F17,""))</f>
        <v/>
      </c>
      <c r="I17" s="14">
        <f>IF(OR(F17="",G17=""),"",IF(E17="&lt;=",IF(G17&lt;=F17,"SI","NO"),IF(G17&gt;=F17,"SI","NO")))</f>
        <v/>
      </c>
      <c r="J17" s="15" t="inlineStr">
        <is>
          <t>OBSERVACION</t>
        </is>
      </c>
      <c r="K17" s="15" t="inlineStr">
        <is>
          <t>100% de error y 0 req/s exitosas sostenidas a 1000 VUs.</t>
        </is>
      </c>
    </row>
    <row r="18" ht="30" customHeight="1" s="45">
      <c r="A18" s="17" t="inlineStr">
        <is>
          <t>PC-10</t>
        </is>
      </c>
      <c r="B18" s="18" t="inlineStr">
        <is>
          <t>Servidor · throughput exitoso a la carga declarada</t>
        </is>
      </c>
      <c r="C18" s="17" t="n">
        <v>25</v>
      </c>
      <c r="D18" s="18" t="inlineStr">
        <is>
          <t>Throughput exitoso (req/s)</t>
        </is>
      </c>
      <c r="E18" s="17" t="inlineStr">
        <is>
          <t>&gt;=</t>
        </is>
      </c>
      <c r="F18" s="17" t="n">
        <v>60</v>
      </c>
      <c r="G18" s="53" t="n">
        <v>11.8</v>
      </c>
      <c r="H18" s="22">
        <f>IF(OR(F18="",G18=""),"",IFERROR((G18-F18)/F18,""))</f>
        <v/>
      </c>
      <c r="I18" s="17">
        <f>IF(OR(F18="",G18=""),"",IF(E18="&lt;=",IF(G18&lt;=F18,"SI","NO"),IF(G18&gt;=F18,"SI","NO")))</f>
        <v/>
      </c>
      <c r="J18" s="18" t="inlineStr">
        <is>
          <t>FALLIDA</t>
        </is>
      </c>
      <c r="K18" s="18" t="inlineStr">
        <is>
          <t>El plan original pedía 60 req/s; el sitio sostiene ~11.8 req/s exitosas en el nivel que declara soportar (25 VUs). Servidor de desarrollo (astro dev), no build de producción.</t>
        </is>
      </c>
    </row>
    <row r="19" ht="30" customHeight="1" s="45">
      <c r="A19" s="15" t="n"/>
      <c r="B19" s="15" t="n"/>
      <c r="C19" s="15" t="n"/>
      <c r="D19" s="15" t="n"/>
      <c r="E19" s="15" t="n"/>
      <c r="F19" s="15" t="n"/>
      <c r="G19" s="16" t="n"/>
      <c r="H19" s="21">
        <f>IF(OR(F19="",G19=""),"",IFERROR((G19-F19)/F19,""))</f>
        <v/>
      </c>
      <c r="I19" s="14">
        <f>IF(OR(F19="",G19=""),"",IF(E19="&lt;=",IF(G19&lt;=F19,"SI","NO"),IF(G19&gt;=F19,"SI","NO")))</f>
        <v/>
      </c>
      <c r="J19" s="15" t="n"/>
      <c r="K19" s="15" t="n"/>
    </row>
    <row r="20" ht="30" customHeight="1" s="45">
      <c r="A20" s="18" t="n"/>
      <c r="B20" s="18" t="n"/>
      <c r="C20" s="18" t="n"/>
      <c r="D20" s="18" t="n"/>
      <c r="E20" s="18" t="n"/>
      <c r="F20" s="18" t="n"/>
      <c r="G20" s="53" t="n"/>
      <c r="H20" s="22">
        <f>IF(OR(F20="",G20=""),"",IFERROR((G20-F20)/F20,""))</f>
        <v/>
      </c>
      <c r="I20" s="17">
        <f>IF(OR(F20="",G20=""),"",IF(E20="&lt;=",IF(G20&lt;=F20,"SI","NO"),IF(G20&gt;=F20,"SI","NO")))</f>
        <v/>
      </c>
      <c r="J20" s="18" t="n"/>
      <c r="K20" s="18" t="n"/>
    </row>
    <row r="21" ht="30" customHeight="1" s="45">
      <c r="A21" s="15" t="n"/>
      <c r="B21" s="15" t="n"/>
      <c r="C21" s="15" t="n"/>
      <c r="D21" s="15" t="n"/>
      <c r="E21" s="15" t="n"/>
      <c r="F21" s="15" t="n"/>
      <c r="G21" s="16" t="n"/>
      <c r="H21" s="21">
        <f>IF(OR(F21="",G21=""),"",IFERROR((G21-F21)/F21,""))</f>
        <v/>
      </c>
      <c r="I21" s="14">
        <f>IF(OR(F21="",G21=""),"",IF(E21="&lt;=",IF(G21&lt;=F21,"SI","NO"),IF(G21&gt;=F21,"SI","NO")))</f>
        <v/>
      </c>
      <c r="J21" s="15" t="n"/>
      <c r="K21" s="15" t="n"/>
    </row>
    <row r="22" ht="30" customHeight="1" s="45">
      <c r="A22" s="18" t="n"/>
      <c r="B22" s="18" t="n"/>
      <c r="C22" s="18" t="n"/>
      <c r="D22" s="18" t="n"/>
      <c r="E22" s="18" t="n"/>
      <c r="F22" s="18" t="n"/>
      <c r="G22" s="53" t="n"/>
      <c r="H22" s="22">
        <f>IF(OR(F22="",G22=""),"",IFERROR((G22-F22)/F22,""))</f>
        <v/>
      </c>
      <c r="I22" s="17">
        <f>IF(OR(F22="",G22=""),"",IF(E22="&lt;=",IF(G22&lt;=F22,"SI","NO"),IF(G22&gt;=F22,"SI","NO")))</f>
        <v/>
      </c>
      <c r="J22" s="18" t="n"/>
      <c r="K22" s="18" t="n"/>
    </row>
    <row r="23" ht="30" customHeight="1" s="45">
      <c r="A23" s="15" t="n"/>
      <c r="B23" s="15" t="n"/>
      <c r="C23" s="15" t="n"/>
      <c r="D23" s="15" t="n"/>
      <c r="E23" s="15" t="n"/>
      <c r="F23" s="15" t="n"/>
      <c r="G23" s="16" t="n"/>
      <c r="H23" s="21">
        <f>IF(OR(F23="",G23=""),"",IFERROR((G23-F23)/F23,""))</f>
        <v/>
      </c>
      <c r="I23" s="14">
        <f>IF(OR(F23="",G23=""),"",IF(E23="&lt;=",IF(G23&lt;=F23,"SI","NO"),IF(G23&gt;=F23,"SI","NO")))</f>
        <v/>
      </c>
      <c r="J23" s="15" t="n"/>
      <c r="K23" s="15" t="n"/>
    </row>
    <row r="24" ht="30" customHeight="1" s="45">
      <c r="A24" s="18" t="n"/>
      <c r="B24" s="18" t="n"/>
      <c r="C24" s="18" t="n"/>
      <c r="D24" s="18" t="n"/>
      <c r="E24" s="18" t="n"/>
      <c r="F24" s="18" t="n"/>
      <c r="G24" s="53" t="n"/>
      <c r="H24" s="22">
        <f>IF(OR(F24="",G24=""),"",IFERROR((G24-F24)/F24,""))</f>
        <v/>
      </c>
      <c r="I24" s="17">
        <f>IF(OR(F24="",G24=""),"",IF(E24="&lt;=",IF(G24&lt;=F24,"SI","NO"),IF(G24&gt;=F24,"SI","NO")))</f>
        <v/>
      </c>
      <c r="J24" s="18" t="n"/>
      <c r="K24" s="18" t="n"/>
    </row>
    <row r="25" ht="30" customHeight="1" s="45">
      <c r="A25" s="15" t="n"/>
      <c r="B25" s="15" t="n"/>
      <c r="C25" s="15" t="n"/>
      <c r="D25" s="15" t="n"/>
      <c r="E25" s="15" t="n"/>
      <c r="F25" s="15" t="n"/>
      <c r="G25" s="16" t="n"/>
      <c r="H25" s="21">
        <f>IF(OR(F25="",G25=""),"",IFERROR((G25-F25)/F25,""))</f>
        <v/>
      </c>
      <c r="I25" s="14">
        <f>IF(OR(F25="",G25=""),"",IF(E25="&lt;=",IF(G25&lt;=F25,"SI","NO"),IF(G25&gt;=F25,"SI","NO")))</f>
        <v/>
      </c>
      <c r="J25" s="15" t="n"/>
      <c r="K25" s="15" t="n"/>
    </row>
    <row r="26" ht="30" customHeight="1" s="45">
      <c r="A26" s="18" t="n"/>
      <c r="B26" s="18" t="n"/>
      <c r="C26" s="18" t="n"/>
      <c r="D26" s="18" t="n"/>
      <c r="E26" s="18" t="n"/>
      <c r="F26" s="18" t="n"/>
      <c r="G26" s="53" t="n"/>
      <c r="H26" s="22">
        <f>IF(OR(F26="",G26=""),"",IFERROR((G26-F26)/F26,""))</f>
        <v/>
      </c>
      <c r="I26" s="17">
        <f>IF(OR(F26="",G26=""),"",IF(E26="&lt;=",IF(G26&lt;=F26,"SI","NO"),IF(G26&gt;=F26,"SI","NO")))</f>
        <v/>
      </c>
      <c r="J26" s="18" t="n"/>
      <c r="K26" s="18" t="n"/>
    </row>
    <row r="27" ht="30" customHeight="1" s="45">
      <c r="A27" s="15" t="n"/>
      <c r="B27" s="15" t="n"/>
      <c r="C27" s="15" t="n"/>
      <c r="D27" s="15" t="n"/>
      <c r="E27" s="15" t="n"/>
      <c r="F27" s="15" t="n"/>
      <c r="G27" s="16" t="n"/>
      <c r="H27" s="21">
        <f>IF(OR(F27="",G27=""),"",IFERROR((G27-F27)/F27,""))</f>
        <v/>
      </c>
      <c r="I27" s="14">
        <f>IF(OR(F27="",G27=""),"",IF(E27="&lt;=",IF(G27&lt;=F27,"SI","NO"),IF(G27&gt;=F27,"SI","NO")))</f>
        <v/>
      </c>
      <c r="J27" s="15" t="n"/>
      <c r="K27" s="15" t="n"/>
    </row>
    <row r="28" ht="30" customHeight="1" s="45">
      <c r="A28" s="18" t="n"/>
      <c r="B28" s="18" t="n"/>
      <c r="C28" s="18" t="n"/>
      <c r="D28" s="18" t="n"/>
      <c r="E28" s="18" t="n"/>
      <c r="F28" s="18" t="n"/>
      <c r="G28" s="53" t="n"/>
      <c r="H28" s="22">
        <f>IF(OR(F28="",G28=""),"",IFERROR((G28-F28)/F28,""))</f>
        <v/>
      </c>
      <c r="I28" s="17">
        <f>IF(OR(F28="",G28=""),"",IF(E28="&lt;=",IF(G28&lt;=F28,"SI","NO"),IF(G28&gt;=F28,"SI","NO")))</f>
        <v/>
      </c>
      <c r="J28" s="18" t="n"/>
      <c r="K28" s="18" t="n"/>
    </row>
    <row r="29" ht="30" customHeight="1" s="45">
      <c r="A29" s="15" t="n"/>
      <c r="B29" s="15" t="n"/>
      <c r="C29" s="15" t="n"/>
      <c r="D29" s="15" t="n"/>
      <c r="E29" s="15" t="n"/>
      <c r="F29" s="15" t="n"/>
      <c r="G29" s="16" t="n"/>
      <c r="H29" s="21">
        <f>IF(OR(F29="",G29=""),"",IFERROR((G29-F29)/F29,""))</f>
        <v/>
      </c>
      <c r="I29" s="14">
        <f>IF(OR(F29="",G29=""),"",IF(E29="&lt;=",IF(G29&lt;=F29,"SI","NO"),IF(G29&gt;=F29,"SI","NO")))</f>
        <v/>
      </c>
      <c r="J29" s="15" t="n"/>
      <c r="K29" s="15" t="n"/>
    </row>
    <row r="30" ht="30" customHeight="1" s="45">
      <c r="A30" s="18" t="n"/>
      <c r="B30" s="18" t="n"/>
      <c r="C30" s="18" t="n"/>
      <c r="D30" s="18" t="n"/>
      <c r="E30" s="18" t="n"/>
      <c r="F30" s="18" t="n"/>
      <c r="G30" s="53" t="n"/>
      <c r="H30" s="22">
        <f>IF(OR(F30="",G30=""),"",IFERROR((G30-F30)/F30,""))</f>
        <v/>
      </c>
      <c r="I30" s="17">
        <f>IF(OR(F30="",G30=""),"",IF(E30="&lt;=",IF(G30&lt;=F30,"SI","NO"),IF(G30&gt;=F30,"SI","NO")))</f>
        <v/>
      </c>
      <c r="J30" s="18" t="n"/>
      <c r="K30" s="18" t="n"/>
    </row>
    <row r="31" ht="30" customHeight="1" s="45">
      <c r="A31" s="15" t="n"/>
      <c r="B31" s="15" t="n"/>
      <c r="C31" s="15" t="n"/>
      <c r="D31" s="15" t="n"/>
      <c r="E31" s="15" t="n"/>
      <c r="F31" s="15" t="n"/>
      <c r="G31" s="16" t="n"/>
      <c r="H31" s="21">
        <f>IF(OR(F31="",G31=""),"",IFERROR((G31-F31)/F31,""))</f>
        <v/>
      </c>
      <c r="I31" s="14">
        <f>IF(OR(F31="",G31=""),"",IF(E31="&lt;=",IF(G31&lt;=F31,"SI","NO"),IF(G31&gt;=F31,"SI","NO")))</f>
        <v/>
      </c>
      <c r="J31" s="15" t="n"/>
      <c r="K31" s="15" t="n"/>
    </row>
    <row r="32" ht="30" customHeight="1" s="45">
      <c r="A32" s="18" t="n"/>
      <c r="B32" s="18" t="n"/>
      <c r="C32" s="18" t="n"/>
      <c r="D32" s="18" t="n"/>
      <c r="E32" s="18" t="n"/>
      <c r="F32" s="18" t="n"/>
      <c r="G32" s="53" t="n"/>
      <c r="H32" s="22">
        <f>IF(OR(F32="",G32=""),"",IFERROR((G32-F32)/F32,""))</f>
        <v/>
      </c>
      <c r="I32" s="17">
        <f>IF(OR(F32="",G32=""),"",IF(E32="&lt;=",IF(G32&lt;=F32,"SI","NO"),IF(G32&gt;=F32,"SI","NO")))</f>
        <v/>
      </c>
      <c r="J32" s="18" t="n"/>
      <c r="K32" s="18" t="n"/>
    </row>
    <row r="33" ht="30" customHeight="1" s="45">
      <c r="A33" s="15" t="n"/>
      <c r="B33" s="15" t="n"/>
      <c r="C33" s="15" t="n"/>
      <c r="D33" s="15" t="n"/>
      <c r="E33" s="15" t="n"/>
      <c r="F33" s="15" t="n"/>
      <c r="G33" s="16" t="n"/>
      <c r="H33" s="21">
        <f>IF(OR(F33="",G33=""),"",IFERROR((G33-F33)/F33,""))</f>
        <v/>
      </c>
      <c r="I33" s="14">
        <f>IF(OR(F33="",G33=""),"",IF(E33="&lt;=",IF(G33&lt;=F33,"SI","NO"),IF(G33&gt;=F33,"SI","NO")))</f>
        <v/>
      </c>
      <c r="J33" s="15" t="n"/>
      <c r="K33" s="15" t="n"/>
    </row>
    <row r="34" ht="30" customHeight="1" s="45">
      <c r="A34" s="18" t="n"/>
      <c r="B34" s="18" t="n"/>
      <c r="C34" s="18" t="n"/>
      <c r="D34" s="18" t="n"/>
      <c r="E34" s="18" t="n"/>
      <c r="F34" s="18" t="n"/>
      <c r="G34" s="53" t="n"/>
      <c r="H34" s="22">
        <f>IF(OR(F34="",G34=""),"",IFERROR((G34-F34)/F34,""))</f>
        <v/>
      </c>
      <c r="I34" s="17">
        <f>IF(OR(F34="",G34=""),"",IF(E34="&lt;=",IF(G34&lt;=F34,"SI","NO"),IF(G34&gt;=F34,"SI","NO")))</f>
        <v/>
      </c>
      <c r="J34" s="18" t="n"/>
      <c r="K34" s="18" t="n"/>
    </row>
    <row r="35" ht="30" customHeight="1" s="45">
      <c r="A35" s="15" t="n"/>
      <c r="B35" s="15" t="n"/>
      <c r="C35" s="15" t="n"/>
      <c r="D35" s="15" t="n"/>
      <c r="E35" s="15" t="n"/>
      <c r="F35" s="15" t="n"/>
      <c r="G35" s="16" t="n"/>
      <c r="H35" s="21">
        <f>IF(OR(F35="",G35=""),"",IFERROR((G35-F35)/F35,""))</f>
        <v/>
      </c>
      <c r="I35" s="14">
        <f>IF(OR(F35="",G35=""),"",IF(E35="&lt;=",IF(G35&lt;=F35,"SI","NO"),IF(G35&gt;=F35,"SI","NO")))</f>
        <v/>
      </c>
      <c r="J35" s="15" t="n"/>
      <c r="K35" s="15" t="n"/>
    </row>
    <row r="36" ht="30" customHeight="1" s="45">
      <c r="A36" s="18" t="n"/>
      <c r="B36" s="18" t="n"/>
      <c r="C36" s="18" t="n"/>
      <c r="D36" s="18" t="n"/>
      <c r="E36" s="18" t="n"/>
      <c r="F36" s="18" t="n"/>
      <c r="G36" s="53" t="n"/>
      <c r="H36" s="22">
        <f>IF(OR(F36="",G36=""),"",IFERROR((G36-F36)/F36,""))</f>
        <v/>
      </c>
      <c r="I36" s="17">
        <f>IF(OR(F36="",G36=""),"",IF(E36="&lt;=",IF(G36&lt;=F36,"SI","NO"),IF(G36&gt;=F36,"SI","NO")))</f>
        <v/>
      </c>
      <c r="J36" s="18" t="n"/>
      <c r="K36" s="18" t="n"/>
    </row>
    <row r="37" ht="30" customHeight="1" s="45">
      <c r="A37" s="15" t="n"/>
      <c r="B37" s="15" t="n"/>
      <c r="C37" s="15" t="n"/>
      <c r="D37" s="15" t="n"/>
      <c r="E37" s="15" t="n"/>
      <c r="F37" s="15" t="n"/>
      <c r="G37" s="16" t="n"/>
      <c r="H37" s="21">
        <f>IF(OR(F37="",G37=""),"",IFERROR((G37-F37)/F37,""))</f>
        <v/>
      </c>
      <c r="I37" s="14">
        <f>IF(OR(F37="",G37=""),"",IF(E37="&lt;=",IF(G37&lt;=F37,"SI","NO"),IF(G37&gt;=F37,"SI","NO")))</f>
        <v/>
      </c>
      <c r="J37" s="15" t="n"/>
      <c r="K37" s="15" t="n"/>
    </row>
    <row r="38" ht="30" customHeight="1" s="45">
      <c r="A38" s="18" t="n"/>
      <c r="B38" s="18" t="n"/>
      <c r="C38" s="18" t="n"/>
      <c r="D38" s="18" t="n"/>
      <c r="E38" s="18" t="n"/>
      <c r="F38" s="18" t="n"/>
      <c r="G38" s="53" t="n"/>
      <c r="H38" s="22">
        <f>IF(OR(F38="",G38=""),"",IFERROR((G38-F38)/F38,""))</f>
        <v/>
      </c>
      <c r="I38" s="17">
        <f>IF(OR(F38="",G38=""),"",IF(E38="&lt;=",IF(G38&lt;=F38,"SI","NO"),IF(G38&gt;=F38,"SI","NO")))</f>
        <v/>
      </c>
      <c r="J38" s="18" t="n"/>
      <c r="K38" s="18" t="n"/>
    </row>
    <row r="39" ht="30" customHeight="1" s="45">
      <c r="A39" s="15" t="n"/>
      <c r="B39" s="15" t="n"/>
      <c r="C39" s="15" t="n"/>
      <c r="D39" s="15" t="n"/>
      <c r="E39" s="15" t="n"/>
      <c r="F39" s="15" t="n"/>
      <c r="G39" s="16" t="n"/>
      <c r="H39" s="21">
        <f>IF(OR(F39="",G39=""),"",IFERROR((G39-F39)/F39,""))</f>
        <v/>
      </c>
      <c r="I39" s="14">
        <f>IF(OR(F39="",G39=""),"",IF(E39="&lt;=",IF(G39&lt;=F39,"SI","NO"),IF(G39&gt;=F39,"SI","NO")))</f>
        <v/>
      </c>
      <c r="J39" s="15" t="n"/>
      <c r="K39" s="15" t="n"/>
    </row>
    <row r="40" ht="30" customHeight="1" s="45">
      <c r="A40" s="18" t="n"/>
      <c r="B40" s="18" t="n"/>
      <c r="C40" s="18" t="n"/>
      <c r="D40" s="18" t="n"/>
      <c r="E40" s="18" t="n"/>
      <c r="F40" s="18" t="n"/>
      <c r="G40" s="53" t="n"/>
      <c r="H40" s="22">
        <f>IF(OR(F40="",G40=""),"",IFERROR((G40-F40)/F40,""))</f>
        <v/>
      </c>
      <c r="I40" s="17">
        <f>IF(OR(F40="",G40=""),"",IF(E40="&lt;=",IF(G40&lt;=F40,"SI","NO"),IF(G40&gt;=F40,"SI","NO")))</f>
        <v/>
      </c>
      <c r="J40" s="18" t="n"/>
      <c r="K40" s="18" t="n"/>
    </row>
    <row r="41" ht="30" customHeight="1" s="45">
      <c r="A41" s="15" t="n"/>
      <c r="B41" s="15" t="n"/>
      <c r="C41" s="15" t="n"/>
      <c r="D41" s="15" t="n"/>
      <c r="E41" s="15" t="n"/>
      <c r="F41" s="15" t="n"/>
      <c r="G41" s="16" t="n"/>
      <c r="H41" s="21">
        <f>IF(OR(F41="",G41=""),"",IFERROR((G41-F41)/F41,""))</f>
        <v/>
      </c>
      <c r="I41" s="14">
        <f>IF(OR(F41="",G41=""),"",IF(E41="&lt;=",IF(G41&lt;=F41,"SI","NO"),IF(G41&gt;=F41,"SI","NO")))</f>
        <v/>
      </c>
      <c r="J41" s="15" t="n"/>
      <c r="K41" s="15" t="n"/>
    </row>
    <row r="42" ht="30" customHeight="1" s="45">
      <c r="A42" s="18" t="n"/>
      <c r="B42" s="18" t="n"/>
      <c r="C42" s="18" t="n"/>
      <c r="D42" s="18" t="n"/>
      <c r="E42" s="18" t="n"/>
      <c r="F42" s="18" t="n"/>
      <c r="G42" s="53" t="n"/>
      <c r="H42" s="22">
        <f>IF(OR(F42="",G42=""),"",IFERROR((G42-F42)/F42,""))</f>
        <v/>
      </c>
      <c r="I42" s="17">
        <f>IF(OR(F42="",G42=""),"",IF(E42="&lt;=",IF(G42&lt;=F42,"SI","NO"),IF(G42&gt;=F42,"SI","NO")))</f>
        <v/>
      </c>
      <c r="J42" s="18" t="n"/>
      <c r="K42" s="18" t="n"/>
    </row>
    <row r="43" ht="30" customHeight="1" s="45">
      <c r="A43" s="15" t="n"/>
      <c r="B43" s="15" t="n"/>
      <c r="C43" s="15" t="n"/>
      <c r="D43" s="15" t="n"/>
      <c r="E43" s="15" t="n"/>
      <c r="F43" s="15" t="n"/>
      <c r="G43" s="16" t="n"/>
      <c r="H43" s="21">
        <f>IF(OR(F43="",G43=""),"",IFERROR((G43-F43)/F43,""))</f>
        <v/>
      </c>
      <c r="I43" s="14">
        <f>IF(OR(F43="",G43=""),"",IF(E43="&lt;=",IF(G43&lt;=F43,"SI","NO"),IF(G43&gt;=F43,"SI","NO")))</f>
        <v/>
      </c>
      <c r="J43" s="15" t="n"/>
      <c r="K43" s="15" t="n"/>
    </row>
    <row r="44" ht="30" customHeight="1" s="45">
      <c r="A44" s="18" t="n"/>
      <c r="B44" s="18" t="n"/>
      <c r="C44" s="18" t="n"/>
      <c r="D44" s="18" t="n"/>
      <c r="E44" s="18" t="n"/>
      <c r="F44" s="18" t="n"/>
      <c r="G44" s="53" t="n"/>
      <c r="H44" s="22">
        <f>IF(OR(F44="",G44=""),"",IFERROR((G44-F44)/F44,""))</f>
        <v/>
      </c>
      <c r="I44" s="17">
        <f>IF(OR(F44="",G44=""),"",IF(E44="&lt;=",IF(G44&lt;=F44,"SI","NO"),IF(G44&gt;=F44,"SI","NO")))</f>
        <v/>
      </c>
      <c r="J44" s="18" t="n"/>
      <c r="K44" s="18" t="n"/>
    </row>
    <row r="45" ht="30" customHeight="1" s="45">
      <c r="A45" s="15" t="n"/>
      <c r="B45" s="15" t="n"/>
      <c r="C45" s="15" t="n"/>
      <c r="D45" s="15" t="n"/>
      <c r="E45" s="15" t="n"/>
      <c r="F45" s="15" t="n"/>
      <c r="G45" s="16" t="n"/>
      <c r="H45" s="21">
        <f>IF(OR(F45="",G45=""),"",IFERROR((G45-F45)/F45,""))</f>
        <v/>
      </c>
      <c r="I45" s="14">
        <f>IF(OR(F45="",G45=""),"",IF(E45="&lt;=",IF(G45&lt;=F45,"SI","NO"),IF(G45&gt;=F45,"SI","NO")))</f>
        <v/>
      </c>
      <c r="J45" s="15" t="n"/>
      <c r="K45" s="15" t="n"/>
    </row>
    <row r="46" ht="30" customHeight="1" s="45">
      <c r="A46" s="18" t="n"/>
      <c r="B46" s="18" t="n"/>
      <c r="C46" s="18" t="n"/>
      <c r="D46" s="18" t="n"/>
      <c r="E46" s="18" t="n"/>
      <c r="F46" s="18" t="n"/>
      <c r="G46" s="53" t="n"/>
      <c r="H46" s="22">
        <f>IF(OR(F46="",G46=""),"",IFERROR((G46-F46)/F46,""))</f>
        <v/>
      </c>
      <c r="I46" s="17">
        <f>IF(OR(F46="",G46=""),"",IF(E46="&lt;=",IF(G46&lt;=F46,"SI","NO"),IF(G46&gt;=F46,"SI","NO")))</f>
        <v/>
      </c>
      <c r="J46" s="18" t="n"/>
      <c r="K46" s="18" t="n"/>
    </row>
    <row r="47" ht="30" customHeight="1" s="45">
      <c r="A47" s="15" t="n"/>
      <c r="B47" s="15" t="n"/>
      <c r="C47" s="15" t="n"/>
      <c r="D47" s="15" t="n"/>
      <c r="E47" s="15" t="n"/>
      <c r="F47" s="15" t="n"/>
      <c r="G47" s="16" t="n"/>
      <c r="H47" s="21">
        <f>IF(OR(F47="",G47=""),"",IFERROR((G47-F47)/F47,""))</f>
        <v/>
      </c>
      <c r="I47" s="14">
        <f>IF(OR(F47="",G47=""),"",IF(E47="&lt;=",IF(G47&lt;=F47,"SI","NO"),IF(G47&gt;=F47,"SI","NO")))</f>
        <v/>
      </c>
      <c r="J47" s="15" t="n"/>
      <c r="K47" s="15" t="n"/>
    </row>
    <row r="48" ht="30" customHeight="1" s="45">
      <c r="A48" s="18" t="n"/>
      <c r="B48" s="18" t="n"/>
      <c r="C48" s="18" t="n"/>
      <c r="D48" s="18" t="n"/>
      <c r="E48" s="18" t="n"/>
      <c r="F48" s="18" t="n"/>
      <c r="G48" s="53" t="n"/>
      <c r="H48" s="22">
        <f>IF(OR(F48="",G48=""),"",IFERROR((G48-F48)/F48,""))</f>
        <v/>
      </c>
      <c r="I48" s="17">
        <f>IF(OR(F48="",G48=""),"",IF(E48="&lt;=",IF(G48&lt;=F48,"SI","NO"),IF(G48&gt;=F48,"SI","NO")))</f>
        <v/>
      </c>
      <c r="J48" s="18" t="n"/>
      <c r="K48" s="18" t="n"/>
    </row>
    <row r="49" ht="30" customHeight="1" s="45">
      <c r="A49" s="15" t="n"/>
      <c r="B49" s="15" t="n"/>
      <c r="C49" s="15" t="n"/>
      <c r="D49" s="15" t="n"/>
      <c r="E49" s="15" t="n"/>
      <c r="F49" s="15" t="n"/>
      <c r="G49" s="16" t="n"/>
      <c r="H49" s="21">
        <f>IF(OR(F49="",G49=""),"",IFERROR((G49-F49)/F49,""))</f>
        <v/>
      </c>
      <c r="I49" s="14">
        <f>IF(OR(F49="",G49=""),"",IF(E49="&lt;=",IF(G49&lt;=F49,"SI","NO"),IF(G49&gt;=F49,"SI","NO")))</f>
        <v/>
      </c>
      <c r="J49" s="15" t="n"/>
      <c r="K49" s="15" t="n"/>
    </row>
    <row r="50" ht="30" customHeight="1" s="45">
      <c r="A50" s="18" t="n"/>
      <c r="B50" s="18" t="n"/>
      <c r="C50" s="18" t="n"/>
      <c r="D50" s="18" t="n"/>
      <c r="E50" s="18" t="n"/>
      <c r="F50" s="18" t="n"/>
      <c r="G50" s="53" t="n"/>
      <c r="H50" s="22">
        <f>IF(OR(F50="",G50=""),"",IFERROR((G50-F50)/F50,""))</f>
        <v/>
      </c>
      <c r="I50" s="17">
        <f>IF(OR(F50="",G50=""),"",IF(E50="&lt;=",IF(G50&lt;=F50,"SI","NO"),IF(G50&gt;=F50,"SI","NO")))</f>
        <v/>
      </c>
      <c r="J50" s="18" t="n"/>
      <c r="K50" s="18" t="n"/>
    </row>
    <row r="51" ht="30" customHeight="1" s="45">
      <c r="A51" s="15" t="n"/>
      <c r="B51" s="15" t="n"/>
      <c r="C51" s="15" t="n"/>
      <c r="D51" s="15" t="n"/>
      <c r="E51" s="15" t="n"/>
      <c r="F51" s="15" t="n"/>
      <c r="G51" s="16" t="n"/>
      <c r="H51" s="21">
        <f>IF(OR(F51="",G51=""),"",IFERROR((G51-F51)/F51,""))</f>
        <v/>
      </c>
      <c r="I51" s="14">
        <f>IF(OR(F51="",G51=""),"",IF(E51="&lt;=",IF(G51&lt;=F51,"SI","NO"),IF(G51&gt;=F51,"SI","NO")))</f>
        <v/>
      </c>
      <c r="J51" s="15" t="n"/>
      <c r="K51" s="15" t="n"/>
    </row>
    <row r="52" ht="30" customHeight="1" s="45">
      <c r="A52" s="18" t="n"/>
      <c r="B52" s="18" t="n"/>
      <c r="C52" s="18" t="n"/>
      <c r="D52" s="18" t="n"/>
      <c r="E52" s="18" t="n"/>
      <c r="F52" s="18" t="n"/>
      <c r="G52" s="53" t="n"/>
      <c r="H52" s="22">
        <f>IF(OR(F52="",G52=""),"",IFERROR((G52-F52)/F52,""))</f>
        <v/>
      </c>
      <c r="I52" s="17">
        <f>IF(OR(F52="",G52=""),"",IF(E52="&lt;=",IF(G52&lt;=F52,"SI","NO"),IF(G52&gt;=F52,"SI","NO")))</f>
        <v/>
      </c>
      <c r="J52" s="18" t="n"/>
      <c r="K52" s="18" t="n"/>
    </row>
    <row r="53" ht="30" customHeight="1" s="45">
      <c r="A53" s="15" t="n"/>
      <c r="B53" s="15" t="n"/>
      <c r="C53" s="15" t="n"/>
      <c r="D53" s="15" t="n"/>
      <c r="E53" s="15" t="n"/>
      <c r="F53" s="15" t="n"/>
      <c r="G53" s="16" t="n"/>
      <c r="H53" s="21">
        <f>IF(OR(F53="",G53=""),"",IFERROR((G53-F53)/F53,""))</f>
        <v/>
      </c>
      <c r="I53" s="14">
        <f>IF(OR(F53="",G53=""),"",IF(E53="&lt;=",IF(G53&lt;=F53,"SI","NO"),IF(G53&gt;=F53,"SI","NO")))</f>
        <v/>
      </c>
      <c r="J53" s="15" t="n"/>
      <c r="K53" s="15" t="n"/>
    </row>
    <row r="54" ht="30" customHeight="1" s="45">
      <c r="A54" s="18" t="n"/>
      <c r="B54" s="18" t="n"/>
      <c r="C54" s="18" t="n"/>
      <c r="D54" s="18" t="n"/>
      <c r="E54" s="18" t="n"/>
      <c r="F54" s="18" t="n"/>
      <c r="G54" s="53" t="n"/>
      <c r="H54" s="22">
        <f>IF(OR(F54="",G54=""),"",IFERROR((G54-F54)/F54,""))</f>
        <v/>
      </c>
      <c r="I54" s="17">
        <f>IF(OR(F54="",G54=""),"",IF(E54="&lt;=",IF(G54&lt;=F54,"SI","NO"),IF(G54&gt;=F54,"SI","NO")))</f>
        <v/>
      </c>
      <c r="J54" s="18" t="n"/>
      <c r="K54" s="18" t="n"/>
    </row>
    <row r="55" ht="30" customHeight="1" s="45">
      <c r="A55" s="15" t="n"/>
      <c r="B55" s="15" t="n"/>
      <c r="C55" s="15" t="n"/>
      <c r="D55" s="15" t="n"/>
      <c r="E55" s="15" t="n"/>
      <c r="F55" s="15" t="n"/>
      <c r="G55" s="16" t="n"/>
      <c r="H55" s="21">
        <f>IF(OR(F55="",G55=""),"",IFERROR((G55-F55)/F55,""))</f>
        <v/>
      </c>
      <c r="I55" s="14">
        <f>IF(OR(F55="",G55=""),"",IF(E55="&lt;=",IF(G55&lt;=F55,"SI","NO"),IF(G55&gt;=F55,"SI","NO")))</f>
        <v/>
      </c>
      <c r="J55" s="15" t="n"/>
      <c r="K55" s="15" t="n"/>
    </row>
    <row r="56" ht="30" customHeight="1" s="45">
      <c r="A56" s="18" t="n"/>
      <c r="B56" s="18" t="n"/>
      <c r="C56" s="18" t="n"/>
      <c r="D56" s="18" t="n"/>
      <c r="E56" s="18" t="n"/>
      <c r="F56" s="18" t="n"/>
      <c r="G56" s="53" t="n"/>
      <c r="H56" s="22">
        <f>IF(OR(F56="",G56=""),"",IFERROR((G56-F56)/F56,""))</f>
        <v/>
      </c>
      <c r="I56" s="17">
        <f>IF(OR(F56="",G56=""),"",IF(E56="&lt;=",IF(G56&lt;=F56,"SI","NO"),IF(G56&gt;=F56,"SI","NO")))</f>
        <v/>
      </c>
      <c r="J56" s="18" t="n"/>
      <c r="K56" s="18" t="n"/>
    </row>
    <row r="57" ht="30" customHeight="1" s="45">
      <c r="A57" s="15" t="n"/>
      <c r="B57" s="15" t="n"/>
      <c r="C57" s="15" t="n"/>
      <c r="D57" s="15" t="n"/>
      <c r="E57" s="15" t="n"/>
      <c r="F57" s="15" t="n"/>
      <c r="G57" s="16" t="n"/>
      <c r="H57" s="21">
        <f>IF(OR(F57="",G57=""),"",IFERROR((G57-F57)/F57,""))</f>
        <v/>
      </c>
      <c r="I57" s="14">
        <f>IF(OR(F57="",G57=""),"",IF(E57="&lt;=",IF(G57&lt;=F57,"SI","NO"),IF(G57&gt;=F57,"SI","NO")))</f>
        <v/>
      </c>
      <c r="J57" s="15" t="n"/>
      <c r="K57" s="15" t="n"/>
    </row>
    <row r="58" ht="30" customHeight="1" s="45">
      <c r="A58" s="18" t="n"/>
      <c r="B58" s="18" t="n"/>
      <c r="C58" s="18" t="n"/>
      <c r="D58" s="18" t="n"/>
      <c r="E58" s="18" t="n"/>
      <c r="F58" s="18" t="n"/>
      <c r="G58" s="53" t="n"/>
      <c r="H58" s="22">
        <f>IF(OR(F58="",G58=""),"",IFERROR((G58-F58)/F58,""))</f>
        <v/>
      </c>
      <c r="I58" s="17">
        <f>IF(OR(F58="",G58=""),"",IF(E58="&lt;=",IF(G58&lt;=F58,"SI","NO"),IF(G58&gt;=F58,"SI","NO")))</f>
        <v/>
      </c>
      <c r="J58" s="18" t="n"/>
      <c r="K58" s="18" t="n"/>
    </row>
    <row r="59" ht="30" customHeight="1" s="45">
      <c r="A59" s="15" t="n"/>
      <c r="B59" s="15" t="n"/>
      <c r="C59" s="15" t="n"/>
      <c r="D59" s="15" t="n"/>
      <c r="E59" s="15" t="n"/>
      <c r="F59" s="15" t="n"/>
      <c r="G59" s="16" t="n"/>
      <c r="H59" s="21">
        <f>IF(OR(F59="",G59=""),"",IFERROR((G59-F59)/F59,""))</f>
        <v/>
      </c>
      <c r="I59" s="14">
        <f>IF(OR(F59="",G59=""),"",IF(E59="&lt;=",IF(G59&lt;=F59,"SI","NO"),IF(G59&gt;=F59,"SI","NO")))</f>
        <v/>
      </c>
      <c r="J59" s="15" t="n"/>
      <c r="K59" s="15" t="n"/>
    </row>
    <row r="60" ht="30" customHeight="1" s="45">
      <c r="A60" s="18" t="n"/>
      <c r="B60" s="18" t="n"/>
      <c r="C60" s="18" t="n"/>
      <c r="D60" s="18" t="n"/>
      <c r="E60" s="18" t="n"/>
      <c r="F60" s="18" t="n"/>
      <c r="G60" s="53" t="n"/>
      <c r="H60" s="22">
        <f>IF(OR(F60="",G60=""),"",IFERROR((G60-F60)/F60,""))</f>
        <v/>
      </c>
      <c r="I60" s="17">
        <f>IF(OR(F60="",G60=""),"",IF(E60="&lt;=",IF(G60&lt;=F60,"SI","NO"),IF(G60&gt;=F60,"SI","NO")))</f>
        <v/>
      </c>
      <c r="J60" s="18" t="n"/>
      <c r="K60" s="18" t="n"/>
    </row>
    <row r="61" ht="30" customHeight="1" s="45">
      <c r="A61" s="15" t="n"/>
      <c r="B61" s="15" t="n"/>
      <c r="C61" s="15" t="n"/>
      <c r="D61" s="15" t="n"/>
      <c r="E61" s="15" t="n"/>
      <c r="F61" s="15" t="n"/>
      <c r="G61" s="16" t="n"/>
      <c r="H61" s="21">
        <f>IF(OR(F61="",G61=""),"",IFERROR((G61-F61)/F61,""))</f>
        <v/>
      </c>
      <c r="I61" s="14">
        <f>IF(OR(F61="",G61=""),"",IF(E61="&lt;=",IF(G61&lt;=F61,"SI","NO"),IF(G61&gt;=F61,"SI","NO")))</f>
        <v/>
      </c>
      <c r="J61" s="15" t="n"/>
      <c r="K61" s="15" t="n"/>
    </row>
    <row r="62" ht="30" customHeight="1" s="45">
      <c r="A62" s="18" t="n"/>
      <c r="B62" s="18" t="n"/>
      <c r="C62" s="18" t="n"/>
      <c r="D62" s="18" t="n"/>
      <c r="E62" s="18" t="n"/>
      <c r="F62" s="18" t="n"/>
      <c r="G62" s="53" t="n"/>
      <c r="H62" s="22">
        <f>IF(OR(F62="",G62=""),"",IFERROR((G62-F62)/F62,""))</f>
        <v/>
      </c>
      <c r="I62" s="17">
        <f>IF(OR(F62="",G62=""),"",IF(E62="&lt;=",IF(G62&lt;=F62,"SI","NO"),IF(G62&gt;=F62,"SI","NO")))</f>
        <v/>
      </c>
      <c r="J62" s="18" t="n"/>
      <c r="K62" s="18" t="n"/>
    </row>
    <row r="63" ht="30" customHeight="1" s="45">
      <c r="A63" s="15" t="n"/>
      <c r="B63" s="15" t="n"/>
      <c r="C63" s="15" t="n"/>
      <c r="D63" s="15" t="n"/>
      <c r="E63" s="15" t="n"/>
      <c r="F63" s="15" t="n"/>
      <c r="G63" s="16" t="n"/>
      <c r="H63" s="21">
        <f>IF(OR(F63="",G63=""),"",IFERROR((G63-F63)/F63,""))</f>
        <v/>
      </c>
      <c r="I63" s="14">
        <f>IF(OR(F63="",G63=""),"",IF(E63="&lt;=",IF(G63&lt;=F63,"SI","NO"),IF(G63&gt;=F63,"SI","NO")))</f>
        <v/>
      </c>
      <c r="J63" s="15" t="n"/>
      <c r="K63" s="15" t="n"/>
    </row>
    <row r="64" ht="30" customHeight="1" s="45">
      <c r="A64" s="18" t="n"/>
      <c r="B64" s="18" t="n"/>
      <c r="C64" s="18" t="n"/>
      <c r="D64" s="18" t="n"/>
      <c r="E64" s="18" t="n"/>
      <c r="F64" s="18" t="n"/>
      <c r="G64" s="53" t="n"/>
      <c r="H64" s="22">
        <f>IF(OR(F64="",G64=""),"",IFERROR((G64-F64)/F64,""))</f>
        <v/>
      </c>
      <c r="I64" s="17">
        <f>IF(OR(F64="",G64=""),"",IF(E64="&lt;=",IF(G64&lt;=F64,"SI","NO"),IF(G64&gt;=F64,"SI","NO")))</f>
        <v/>
      </c>
      <c r="J64" s="18" t="n"/>
      <c r="K64" s="18" t="n"/>
    </row>
    <row r="65" ht="30" customHeight="1" s="45">
      <c r="A65" s="15" t="n"/>
      <c r="B65" s="15" t="n"/>
      <c r="C65" s="15" t="n"/>
      <c r="D65" s="15" t="n"/>
      <c r="E65" s="15" t="n"/>
      <c r="F65" s="15" t="n"/>
      <c r="G65" s="16" t="n"/>
      <c r="H65" s="21">
        <f>IF(OR(F65="",G65=""),"",IFERROR((G65-F65)/F65,""))</f>
        <v/>
      </c>
      <c r="I65" s="14">
        <f>IF(OR(F65="",G65=""),"",IF(E65="&lt;=",IF(G65&lt;=F65,"SI","NO"),IF(G65&gt;=F65,"SI","NO")))</f>
        <v/>
      </c>
      <c r="J65" s="15" t="n"/>
      <c r="K65" s="15" t="n"/>
    </row>
    <row r="66" ht="30" customHeight="1" s="45">
      <c r="A66" s="18" t="n"/>
      <c r="B66" s="18" t="n"/>
      <c r="C66" s="18" t="n"/>
      <c r="D66" s="18" t="n"/>
      <c r="E66" s="18" t="n"/>
      <c r="F66" s="18" t="n"/>
      <c r="G66" s="53" t="n"/>
      <c r="H66" s="22">
        <f>IF(OR(F66="",G66=""),"",IFERROR((G66-F66)/F66,""))</f>
        <v/>
      </c>
      <c r="I66" s="17">
        <f>IF(OR(F66="",G66=""),"",IF(E66="&lt;=",IF(G66&lt;=F66,"SI","NO"),IF(G66&gt;=F66,"SI","NO")))</f>
        <v/>
      </c>
      <c r="J66" s="18" t="n"/>
      <c r="K66" s="18" t="n"/>
    </row>
    <row r="67" ht="30" customHeight="1" s="45">
      <c r="A67" s="15" t="n"/>
      <c r="B67" s="15" t="n"/>
      <c r="C67" s="15" t="n"/>
      <c r="D67" s="15" t="n"/>
      <c r="E67" s="15" t="n"/>
      <c r="F67" s="15" t="n"/>
      <c r="G67" s="16" t="n"/>
      <c r="H67" s="21">
        <f>IF(OR(F67="",G67=""),"",IFERROR((G67-F67)/F67,""))</f>
        <v/>
      </c>
      <c r="I67" s="14">
        <f>IF(OR(F67="",G67=""),"",IF(E67="&lt;=",IF(G67&lt;=F67,"SI","NO"),IF(G67&gt;=F67,"SI","NO")))</f>
        <v/>
      </c>
      <c r="J67" s="15" t="n"/>
      <c r="K67" s="15" t="n"/>
    </row>
  </sheetData>
  <mergeCells count="2">
    <mergeCell ref="A6:K6"/>
    <mergeCell ref="A1:K1"/>
  </mergeCells>
  <conditionalFormatting sqref="I8:I67">
    <cfRule type="cellIs" priority="5" operator="equal" dxfId="1">
      <formula>"SI"</formula>
    </cfRule>
    <cfRule type="cellIs" priority="6" operator="equal" dxfId="0">
      <formula>"NO"</formula>
    </cfRule>
  </conditionalFormatting>
  <conditionalFormatting sqref="J8:J67">
    <cfRule type="cellIs" priority="1" operator="equal" dxfId="1">
      <formula>"APROBADA"</formula>
    </cfRule>
    <cfRule type="cellIs" priority="2" operator="equal" dxfId="0">
      <formula>"FALLIDA"</formula>
    </cfRule>
    <cfRule type="cellIs" priority="3" operator="equal" dxfId="3">
      <formula>"OBSERVACION"</formula>
    </cfRule>
    <cfRule type="cellIs" priority="4" operator="equal" dxfId="2">
      <formula>"BLOQUEADA"</formula>
    </cfRule>
  </conditionalFormatting>
  <dataValidations count="2">
    <dataValidation sqref="J8:J67" showDropDown="0" showInputMessage="0" showErrorMessage="0" allowBlank="1" errorTitle="Estado no valido" error="Elija: APROBADA, FALLIDA, BLOQUEADA u OBSERVACION." type="list">
      <formula1>"APROBADA,FALLIDA,BLOQUEADA,OBSERVACION"</formula1>
    </dataValidation>
    <dataValidation sqref="E8:E67" showDropDown="0" showInputMessage="0" showErrorMessage="0" allowBlank="1" type="list">
      <formula1>"&lt;=,&gt;="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5"/>
  <sheetViews>
    <sheetView tabSelected="1" workbookViewId="0">
      <pane ySplit="7" topLeftCell="A8" activePane="bottomLeft" state="frozen"/>
      <selection pane="bottomLeft" activeCell="A1" sqref="A1:J1"/>
    </sheetView>
  </sheetViews>
  <sheetFormatPr baseColWidth="10" defaultColWidth="9.1796875" defaultRowHeight="14.5"/>
  <cols>
    <col width="11" customWidth="1" style="45" min="1" max="3"/>
    <col width="18" customWidth="1" style="45" min="4" max="4"/>
    <col width="12" customWidth="1" style="45" min="5" max="5"/>
    <col width="11" customWidth="1" style="45" min="6" max="6"/>
    <col width="10" customWidth="1" style="45" min="7" max="8"/>
    <col width="48" customWidth="1" style="45" min="9" max="9"/>
    <col width="14" customWidth="1" style="45" min="10" max="10"/>
  </cols>
  <sheetData>
    <row r="1" ht="26.15" customHeight="1" s="45">
      <c r="A1" s="46" t="inlineStr">
        <is>
          <t>M4 · MATRIZ DE PRUEBA DE ESTRÉS · portfolio (codebymike.tech)</t>
        </is>
      </c>
    </row>
    <row r="3">
      <c r="A3" s="9" t="inlineStr">
        <is>
          <t>Sistema:</t>
        </is>
      </c>
      <c r="B3" s="10" t="inlineStr">
        <is>
          <t>http://127.0.0.1:4400 (npm run dev:carga)</t>
        </is>
      </c>
      <c r="D3" s="9" t="inlineStr">
        <is>
          <t>Herramienta:</t>
        </is>
      </c>
      <c r="E3" s="10" t="inlineStr">
        <is>
          <t>Apache k6 · lab/k6/estres.js</t>
        </is>
      </c>
    </row>
    <row r="4">
      <c r="A4" s="9" t="inlineStr">
        <is>
          <t>Entorno:</t>
        </is>
      </c>
      <c r="B4" s="10" t="inlineStr">
        <is>
          <t>Node 22.22.3 · Astro 7 dev · sqld local (Turso) en Docker · host descontendido (11 contenedores ajenos detenidos)</t>
        </is>
      </c>
      <c r="D4" s="9" t="inlineStr">
        <is>
          <t>2026-08-27</t>
        </is>
      </c>
      <c r="E4" s="10" t="n"/>
    </row>
    <row r="5">
      <c r="A5" s="9" t="inlineStr">
        <is>
          <t>Objetivo:</t>
        </is>
      </c>
      <c r="B5" s="10" t="inlineStr">
        <is>
          <t>Punto de saturación, punto de quiebre y recuperación, vía ramping-arrival-rate 50→300 req/s en escalones de 30s + recuperación de 120s a 100 req/s</t>
        </is>
      </c>
      <c r="D5" s="9" t="inlineStr">
        <is>
          <t>Responsable:</t>
        </is>
      </c>
      <c r="E5" s="10" t="inlineStr">
        <is>
          <t>Mike (@mikerb95)</t>
        </is>
      </c>
    </row>
    <row r="6" ht="26.15" customHeight="1" s="45">
      <c r="A6" s="52" t="inlineStr">
        <is>
          <t>Nota · A diferencia de la plantilla original (VUs fijos), este script controla el RITMO DE LLEGADA (ramping-arrival-rate, req/s ofrecidos), no la concurrencia: con VUs, el sistema se autoprotege bajando la carga cuando se satura y nunca se encuentra el punto de quiebre. La columna "Usuarios" muestra los VUs promedio que k6 tuvo que asignar para sostener ese ritmo (a más saturación, más VUs para la misma tasa de llegada). Fuente: lab/k6/resultados/estres-2026-08-27T15-10-31-684Z.json.</t>
        </is>
      </c>
      <c r="B6" s="55" t="n"/>
      <c r="C6" s="55" t="n"/>
      <c r="D6" s="55" t="n"/>
      <c r="E6" s="55" t="n"/>
      <c r="F6" s="55" t="n"/>
      <c r="G6" s="55" t="n"/>
      <c r="H6" s="55" t="n"/>
      <c r="I6" s="55" t="n"/>
      <c r="J6" s="56" t="n"/>
    </row>
    <row r="7" ht="32.15" customHeight="1" s="45">
      <c r="A7" s="54" t="inlineStr">
        <is>
          <t>Escalón</t>
        </is>
      </c>
      <c r="B7" s="54" t="inlineStr">
        <is>
          <t>Usuarios</t>
        </is>
      </c>
      <c r="C7" s="54" t="inlineStr">
        <is>
          <t>Duración</t>
        </is>
      </c>
      <c r="D7" s="54" t="inlineStr">
        <is>
          <t>Throughput (req/s)</t>
        </is>
      </c>
      <c r="E7" s="54" t="inlineStr">
        <is>
          <t>p95 (ms)</t>
        </is>
      </c>
      <c r="F7" s="54" t="inlineStr">
        <is>
          <t>Error (%)</t>
        </is>
      </c>
      <c r="G7" s="54" t="inlineStr">
        <is>
          <t>CPU (%)</t>
        </is>
      </c>
      <c r="H7" s="54" t="inlineStr">
        <is>
          <t>Heap (%)</t>
        </is>
      </c>
      <c r="I7" s="54" t="inlineStr">
        <is>
          <t>Observación</t>
        </is>
      </c>
      <c r="J7" s="54" t="inlineStr">
        <is>
          <t>Estado</t>
        </is>
      </c>
    </row>
    <row r="8" ht="30" customHeight="1" s="45">
      <c r="A8" s="12" t="n"/>
      <c r="B8" s="12" t="n"/>
      <c r="C8" s="12" t="n"/>
      <c r="D8" s="12" t="n"/>
      <c r="E8" s="23" t="n"/>
      <c r="F8" s="24" t="n"/>
      <c r="G8" s="12" t="n"/>
      <c r="H8" s="12" t="n"/>
      <c r="I8" s="13" t="n"/>
      <c r="J8" s="12" t="n"/>
    </row>
    <row r="9" ht="30" customHeight="1" s="45">
      <c r="A9" s="14" t="inlineStr">
        <is>
          <t>E1</t>
        </is>
      </c>
      <c r="B9" s="14" t="n">
        <v>12</v>
      </c>
      <c r="C9" s="14" t="inlineStr">
        <is>
          <t>30 s</t>
        </is>
      </c>
      <c r="D9" s="25" t="n">
        <v>49.9</v>
      </c>
      <c r="E9" s="26" t="n">
        <v>1282</v>
      </c>
      <c r="F9" s="27" t="n">
        <v>0</v>
      </c>
      <c r="G9" s="25" t="n">
        <v>14</v>
      </c>
      <c r="H9" s="25" t="inlineStr">
        <is>
          <t>308 MB</t>
        </is>
      </c>
      <c r="I9" s="15" t="inlineStr">
        <is>
          <t>Escalón sano (50 req/s ofrecidos): línea base de comparación.</t>
        </is>
      </c>
      <c r="J9" s="16" t="inlineStr">
        <is>
          <t>APROBADA</t>
        </is>
      </c>
    </row>
    <row r="10" ht="30" customHeight="1" s="45">
      <c r="A10" s="17" t="inlineStr">
        <is>
          <t>E2</t>
        </is>
      </c>
      <c r="B10" s="17" t="n">
        <v>184</v>
      </c>
      <c r="C10" s="17" t="inlineStr">
        <is>
          <t>30 s</t>
        </is>
      </c>
      <c r="D10" s="28" t="n">
        <v>69.8</v>
      </c>
      <c r="E10" s="29" t="n">
        <v>7938.9</v>
      </c>
      <c r="F10" s="30" t="n">
        <v>1.9</v>
      </c>
      <c r="G10" s="28" t="n">
        <v>14.8</v>
      </c>
      <c r="H10" s="28" t="inlineStr">
        <is>
          <t>354 MB</t>
        </is>
      </c>
      <c r="I10" s="18" t="inlineStr">
        <is>
          <t>Primer escalón degradado (100 req/s ofrecidos): el throughput ya no sigue al ritmo ofrecido y el p95 se dispara.</t>
        </is>
      </c>
      <c r="J10" s="53" t="inlineStr">
        <is>
          <t>OBSERVACION</t>
        </is>
      </c>
    </row>
    <row r="11" ht="30" customHeight="1" s="45">
      <c r="A11" s="14" t="inlineStr">
        <is>
          <t>E3</t>
        </is>
      </c>
      <c r="B11" s="14" t="n">
        <v>1228</v>
      </c>
      <c r="C11" s="14" t="inlineStr">
        <is>
          <t>30 s</t>
        </is>
      </c>
      <c r="D11" s="25" t="n">
        <v>27.1</v>
      </c>
      <c r="E11" s="26" t="n">
        <v>10001</v>
      </c>
      <c r="F11" s="27" t="n">
        <v>76.3</v>
      </c>
      <c r="G11" s="25" t="n">
        <v>16.4</v>
      </c>
      <c r="H11" s="25" t="inlineStr">
        <is>
          <t>355 MB</t>
        </is>
      </c>
      <c r="I11" s="15" t="inlineStr">
        <is>
          <t>¿Punto de quiebre? (200 req/s ofrecidos): la mayoría de peticiones agotan el timeout de 10s. H-01.</t>
        </is>
      </c>
      <c r="J11" s="16" t="inlineStr">
        <is>
          <t>FALLIDA</t>
        </is>
      </c>
    </row>
    <row r="12" ht="30" customHeight="1" s="45">
      <c r="A12" s="17" t="inlineStr">
        <is>
          <t>E4</t>
        </is>
      </c>
      <c r="B12" s="17" t="n">
        <v>2330</v>
      </c>
      <c r="C12" s="17" t="inlineStr">
        <is>
          <t>30 s</t>
        </is>
      </c>
      <c r="D12" s="28" t="n">
        <v>0</v>
      </c>
      <c r="E12" s="29" t="n">
        <v>10000.8</v>
      </c>
      <c r="F12" s="30" t="n">
        <v>100</v>
      </c>
      <c r="G12" s="28" t="inlineStr">
        <is>
          <t>s/d</t>
        </is>
      </c>
      <c r="H12" s="28" t="inlineStr">
        <is>
          <t>s/d</t>
        </is>
      </c>
      <c r="I12" s="18" t="inlineStr">
        <is>
          <t>300 req/s ofrecidos, primera ventana: 100% de error. CPU/heap sin dato porque el propio endpoint de diagnóstico también se satura (H-04).</t>
        </is>
      </c>
      <c r="J12" s="53" t="inlineStr">
        <is>
          <t>FALLIDA</t>
        </is>
      </c>
    </row>
    <row r="13" ht="30" customHeight="1" s="45">
      <c r="A13" s="14" t="inlineStr">
        <is>
          <t>E5</t>
        </is>
      </c>
      <c r="B13" s="14" t="n">
        <v>2852</v>
      </c>
      <c r="C13" s="14" t="inlineStr">
        <is>
          <t>30 s</t>
        </is>
      </c>
      <c r="D13" s="25" t="n">
        <v>0</v>
      </c>
      <c r="E13" s="26" t="n">
        <v>10000.4</v>
      </c>
      <c r="F13" s="27" t="n">
        <v>100</v>
      </c>
      <c r="G13" s="25" t="inlineStr">
        <is>
          <t>s/d</t>
        </is>
      </c>
      <c r="H13" s="25" t="inlineStr">
        <is>
          <t>s/d</t>
        </is>
      </c>
      <c r="I13" s="15" t="inlineStr">
        <is>
          <t>300 req/s ofrecidos, segunda ventana: el colapso se sostiene, hasta 2930 VUs simultáneos asignados por k6.</t>
        </is>
      </c>
      <c r="J13" s="16" t="inlineStr">
        <is>
          <t>FALLIDA</t>
        </is>
      </c>
    </row>
    <row r="14" ht="30" customHeight="1" s="45">
      <c r="A14" s="17" t="inlineStr">
        <is>
          <t>E6</t>
        </is>
      </c>
      <c r="B14" s="17" t="n">
        <v>800</v>
      </c>
      <c r="C14" s="17" t="inlineStr">
        <is>
          <t>3 min</t>
        </is>
      </c>
      <c r="D14" s="28" t="n"/>
      <c r="E14" s="29" t="n"/>
      <c r="F14" s="30" t="n"/>
      <c r="G14" s="28" t="n"/>
      <c r="H14" s="28" t="n"/>
      <c r="I14" s="18" t="inlineStr">
        <is>
          <t>No se ejecutó: el escalón anterior ya estaba en 100% de error; ampliar el ritmo no habría añadido información (ver diseño en lab/k6/estres.js).</t>
        </is>
      </c>
      <c r="J14" s="53" t="inlineStr">
        <is>
          <t>BLOQUEADA</t>
        </is>
      </c>
    </row>
    <row r="15" ht="30" customHeight="1" s="45">
      <c r="A15" s="14" t="inlineStr">
        <is>
          <t>R</t>
        </is>
      </c>
      <c r="B15" s="14" t="n">
        <v>100</v>
      </c>
      <c r="C15" s="14" t="inlineStr">
        <is>
          <t>120 s (8 tramos de 15 s)</t>
        </is>
      </c>
      <c r="D15" s="25" t="n"/>
      <c r="E15" s="26" t="inlineStr">
        <is>
          <t>10000.6 (agregado) / 60.4 (tramo final)</t>
        </is>
      </c>
      <c r="F15" s="27" t="inlineStr">
        <is>
          <t>27.1 (agregado)</t>
        </is>
      </c>
      <c r="G15" s="25" t="inlineStr">
        <is>
          <t>6.1–16.1</t>
        </is>
      </c>
      <c r="H15" s="25" t="inlineStr">
        <is>
          <t>224–368 MB</t>
        </is>
      </c>
      <c r="I15" s="15" t="inlineStr">
        <is>
          <t>Agregado engañoso: los primeros 45s siguen saturados (p95≈10000ms); recién desde +75s converge (p50 24–26ms, p95 60–63ms), MEJOR que el propio E1. Recupera del todo pero no de inmediato: tarda ~75s en iniciar. H-02, H-03.</t>
        </is>
      </c>
      <c r="J15" s="16" t="inlineStr">
        <is>
          <t>OBSERVACION</t>
        </is>
      </c>
    </row>
    <row r="16" ht="30" customHeight="1" s="45">
      <c r="A16" s="18" t="n"/>
      <c r="B16" s="18" t="n"/>
      <c r="C16" s="18" t="n"/>
      <c r="D16" s="53" t="n"/>
      <c r="E16" s="31" t="n"/>
      <c r="F16" s="32" t="n"/>
      <c r="G16" s="53" t="n"/>
      <c r="H16" s="53" t="n"/>
      <c r="I16" s="18" t="n"/>
      <c r="J16" s="53" t="n"/>
    </row>
    <row r="19">
      <c r="A19" s="33" t="inlineStr">
        <is>
          <t>Hallazgos de la prueba de estrés</t>
        </is>
      </c>
    </row>
    <row r="20">
      <c r="A20" s="54" t="inlineStr">
        <is>
          <t>Hallazgo</t>
        </is>
      </c>
      <c r="B20" s="54" t="inlineStr">
        <is>
          <t>Evidencia observada</t>
        </is>
      </c>
      <c r="C20" s="55" t="n"/>
      <c r="D20" s="55" t="n"/>
      <c r="E20" s="56" t="n"/>
      <c r="F20" s="54" t="inlineStr">
        <is>
          <t>Recomendación</t>
        </is>
      </c>
      <c r="G20" s="55" t="n"/>
      <c r="H20" s="55" t="n"/>
      <c r="I20" s="55" t="n"/>
      <c r="J20" s="56" t="n"/>
    </row>
    <row r="21" ht="28" customHeight="1" s="45">
      <c r="A21" s="17" t="inlineStr">
        <is>
          <t>H-01</t>
        </is>
      </c>
      <c r="B21" s="53" t="inlineStr">
        <is>
          <t>Host limpio: el punto de quiebre vuelve a ~100 req/s (11 contenedores ajenos detenidos, load average 2.19→0.37-0.98). El escalón de 50 req/s vuelve a 0% de error, igual que la corrida sin contención del 22 ago.</t>
        </is>
      </c>
      <c r="C21" s="55" t="n"/>
      <c r="D21" s="55" t="n"/>
      <c r="E21" s="56" t="n"/>
      <c r="F21" s="53" t="inlineStr">
        <is>
          <t>Repetir corridas de estrés siempre con el host descontendido; documentar la carga ambiental como variable de la prueba.</t>
        </is>
      </c>
      <c r="G21" s="55" t="n"/>
      <c r="H21" s="55" t="n"/>
      <c r="I21" s="55" t="n"/>
      <c r="J21" s="56" t="n"/>
    </row>
    <row r="22" ht="28" customHeight="1" s="45">
      <c r="A22" s="17" t="inlineStr">
        <is>
          <t>H-02</t>
        </is>
      </c>
      <c r="B22" s="53" t="inlineStr">
        <is>
          <t>El agregado de la fase de recuperación (120s) da 27.1% de error y p95≈10000ms, pero por tramos de 15s se ve que converge del todo desde +75-90s (p50 24-26ms), mejor que el propio escalón sano E1.</t>
        </is>
      </c>
      <c r="C22" s="55" t="n"/>
      <c r="D22" s="55" t="n"/>
      <c r="E22" s="56" t="n"/>
      <c r="F22" s="53" t="inlineStr">
        <is>
          <t>Medir siempre la recuperación por tramos, no en agregado: el agregado esconde una recuperación completa detrás de la cola inicial que aún drena.</t>
        </is>
      </c>
      <c r="G22" s="55" t="n"/>
      <c r="H22" s="55" t="n"/>
      <c r="I22" s="55" t="n"/>
      <c r="J22" s="56" t="n"/>
    </row>
    <row r="23" ht="28" customHeight="1" s="45">
      <c r="A23" s="17" t="inlineStr">
        <is>
          <t>H-03</t>
        </is>
      </c>
      <c r="B23" s="53" t="inlineStr">
        <is>
          <t>El drenaje de ~60-75s tras cortar la carga no es contención de host: coincide con las ~2930 conexiones simultáneas que dejó el último escalón (300 req/s, 100% error, corte en seco con gracefulStop:"0s").</t>
        </is>
      </c>
      <c r="C23" s="55" t="n"/>
      <c r="D23" s="55" t="n"/>
      <c r="E23" s="56" t="n"/>
      <c r="F23" s="53" t="inlineStr">
        <is>
          <t>El límite real parece ser la concurrencia de sockets/handlers de `astro dev`, no CPU/memoria; repetir contra un build de producción (astro build + preview, o Vercel) antes de fijar un SLO de capacidad.</t>
        </is>
      </c>
      <c r="G23" s="55" t="n"/>
      <c r="H23" s="55" t="n"/>
      <c r="I23" s="55" t="n"/>
      <c r="J23" s="56" t="n"/>
    </row>
    <row r="24" ht="28" customHeight="1" s="45">
      <c r="A24" s="17" t="inlineStr">
        <is>
          <t>H-04</t>
        </is>
      </c>
      <c r="B24" s="53" t="inlineStr">
        <is>
          <t>cpuPct/heapMb quedan sin dato en los 2 últimos escalones (300 req/s) y en los primeros 45s de recuperación: el propio endpoint de diagnóstico /api/lab/proceso también se satura bajo esa carga.</t>
        </is>
      </c>
      <c r="C24" s="55" t="n"/>
      <c r="D24" s="55" t="n"/>
      <c r="E24" s="56" t="n"/>
      <c r="F24" s="53" t="inlineStr">
        <is>
          <t>No depender de un endpoint HTTP para telemetría de proceso bajo saturación extrema; instrumentar con un mecanismo fuera de banda (métricas de sistema operativo o del proceso).</t>
        </is>
      </c>
      <c r="G24" s="55" t="n"/>
      <c r="H24" s="55" t="n"/>
      <c r="I24" s="55" t="n"/>
      <c r="J24" s="56" t="n"/>
    </row>
    <row r="25" ht="28" customHeight="1" s="45">
      <c r="A25" s="17" t="inlineStr">
        <is>
          <t>H-05</t>
        </is>
      </c>
      <c r="B25" s="53" t="inlineStr">
        <is>
          <t>1.7 GiB de swap seguía en uso tras detener los contenedores ajenos (atribuible a mysqld de sistema y al escritorio), pero el load average bajó a 0.37-0.98 y los resultados coincidieron con la corrida sin contención previa.</t>
        </is>
      </c>
      <c r="C25" s="55" t="n"/>
      <c r="D25" s="55" t="n"/>
      <c r="E25" s="56" t="n"/>
      <c r="F25" s="53" t="inlineStr">
        <is>
          <t>Para pruebas de estrés reproducibles, monitorear el load average del host como variable de control principal, no solo el swap residual.</t>
        </is>
      </c>
      <c r="G25" s="55" t="n"/>
      <c r="H25" s="55" t="n"/>
      <c r="I25" s="55" t="n"/>
      <c r="J25" s="56" t="n"/>
    </row>
  </sheetData>
  <mergeCells count="14">
    <mergeCell ref="A1:J1"/>
    <mergeCell ref="B23:E23"/>
    <mergeCell ref="F21:J21"/>
    <mergeCell ref="A6:J6"/>
    <mergeCell ref="F24:J24"/>
    <mergeCell ref="F20:J20"/>
    <mergeCell ref="F23:J23"/>
    <mergeCell ref="B21:E21"/>
    <mergeCell ref="F25:J25"/>
    <mergeCell ref="B25:E25"/>
    <mergeCell ref="B24:E24"/>
    <mergeCell ref="B20:E20"/>
    <mergeCell ref="F22:J22"/>
    <mergeCell ref="B22:E22"/>
  </mergeCells>
  <conditionalFormatting sqref="J8:J16">
    <cfRule type="cellIs" priority="1" operator="equal" dxfId="1">
      <formula>"APROBADA"</formula>
    </cfRule>
    <cfRule type="cellIs" priority="2" operator="equal" dxfId="0">
      <formula>"FALLIDA"</formula>
    </cfRule>
    <cfRule type="cellIs" priority="3" operator="equal" dxfId="3">
      <formula>"OBSERVACION"</formula>
    </cfRule>
    <cfRule type="cellIs" priority="4" operator="equal" dxfId="2">
      <formula>"BLOQUEADA"</formula>
    </cfRule>
  </conditionalFormatting>
  <dataValidations count="1">
    <dataValidation sqref="J8:J16" showDropDown="0" showInputMessage="0" showErrorMessage="0" allowBlank="1" errorTitle="Estado no valido" error="Elija: APROBADA, FALLIDA, BLOQUEADA u OBSERVACION." type="list">
      <formula1>"APROBADA,FALLIDA,BLOQUEADA,OBSERVACION"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15"/>
  <sheetViews>
    <sheetView showGridLines="0" topLeftCell="A24" workbookViewId="0">
      <selection activeCell="I25" sqref="I25"/>
    </sheetView>
  </sheetViews>
  <sheetFormatPr baseColWidth="10" defaultColWidth="9.1796875" defaultRowHeight="14.5"/>
  <cols>
    <col width="3" customWidth="1" style="45" min="1" max="1"/>
    <col width="33" customWidth="1" style="45" min="2" max="2"/>
    <col width="12" customWidth="1" style="45" min="3" max="3"/>
    <col width="13" customWidth="1" style="45" min="4" max="4"/>
    <col width="11" customWidth="1" style="45" min="5" max="5"/>
    <col width="12" customWidth="1" style="45" min="6" max="6"/>
    <col width="16" customWidth="1" style="45" min="7" max="7"/>
    <col width="12" customWidth="1" style="45" min="8" max="8"/>
  </cols>
  <sheetData>
    <row r="2" ht="26.15" customHeight="1" s="45">
      <c r="B2" s="46" t="inlineStr">
        <is>
          <t>RESUMEN EJECUTIVO DE PRUEBAS · clasedominio</t>
        </is>
      </c>
    </row>
    <row r="4">
      <c r="B4" s="47" t="inlineStr">
        <is>
          <t>Todas las cifras de esta hoja son fórmulas que leen las cuatro matrices. No escriba nada aquí.</t>
        </is>
      </c>
    </row>
    <row r="6" ht="30" customHeight="1" s="45">
      <c r="B6" s="54" t="inlineStr">
        <is>
          <t>Tipo de prueba</t>
        </is>
      </c>
      <c r="C6" s="54" t="inlineStr">
        <is>
          <t>Aprobadas</t>
        </is>
      </c>
      <c r="D6" s="54" t="inlineStr">
        <is>
          <t>Observación</t>
        </is>
      </c>
      <c r="E6" s="54" t="inlineStr">
        <is>
          <t>Fallidas</t>
        </is>
      </c>
      <c r="F6" s="54" t="inlineStr">
        <is>
          <t>Bloqueadas</t>
        </is>
      </c>
      <c r="G6" s="54" t="inlineStr">
        <is>
          <t>Total ejecutadas</t>
        </is>
      </c>
      <c r="H6" s="54" t="inlineStr">
        <is>
          <t>% de éxito</t>
        </is>
      </c>
    </row>
    <row r="7" ht="20.15" customHeight="1" s="45">
      <c r="B7" s="34" t="inlineStr">
        <is>
          <t>Pruebas unitarias</t>
        </is>
      </c>
      <c r="C7" s="17">
        <f>COUNTIF('M1 Unitarias'!$H$9:$H$67,"APROBADA")</f>
        <v/>
      </c>
      <c r="D7" s="17">
        <f>COUNTIF('M1 Unitarias'!$H$9:$H$67,"OBSERVACION")</f>
        <v/>
      </c>
      <c r="E7" s="17">
        <f>COUNTIF('M1 Unitarias'!$H$9:$H$67,"FALLIDA")</f>
        <v/>
      </c>
      <c r="F7" s="17">
        <f>COUNTIF('M1 Unitarias'!$H$9:$H$67,"BLOQUEADA")</f>
        <v/>
      </c>
      <c r="G7" s="17">
        <f>SUM(C7:F7)</f>
        <v/>
      </c>
      <c r="H7" s="35">
        <f>IFERROR((C7+D7)/G7,0)</f>
        <v/>
      </c>
    </row>
    <row r="8" ht="20.15" customHeight="1" s="45">
      <c r="B8" s="34" t="inlineStr">
        <is>
          <t>Pruebas de integración</t>
        </is>
      </c>
      <c r="C8" s="17">
        <f>COUNTIF('M2 Integracion'!$H$9:$H$67,"APROBADA")</f>
        <v/>
      </c>
      <c r="D8" s="17">
        <f>COUNTIF('M2 Integracion'!$H$9:$H$67,"OBSERVACION")</f>
        <v/>
      </c>
      <c r="E8" s="17">
        <f>COUNTIF('M2 Integracion'!$H$9:$H$67,"FALLIDA")</f>
        <v/>
      </c>
      <c r="F8" s="17">
        <f>COUNTIF('M2 Integracion'!$H$9:$H$67,"BLOQUEADA")</f>
        <v/>
      </c>
      <c r="G8" s="17">
        <f>SUM(C8:F8)</f>
        <v/>
      </c>
      <c r="H8" s="35">
        <f>IFERROR((C8+D8)/G8,0)</f>
        <v/>
      </c>
    </row>
    <row r="9" ht="20.15" customHeight="1" s="45">
      <c r="B9" s="34" t="inlineStr">
        <is>
          <t>Pruebas de carga</t>
        </is>
      </c>
      <c r="C9" s="17">
        <f>COUNTIF('M3 Carga'!$J$9:$J$67,"APROBADA")</f>
        <v/>
      </c>
      <c r="D9" s="17">
        <f>COUNTIF('M3 Carga'!$J$9:$J$67,"OBSERVACION")</f>
        <v/>
      </c>
      <c r="E9" s="17">
        <f>COUNTIF('M3 Carga'!$J$9:$J$67,"FALLIDA")</f>
        <v/>
      </c>
      <c r="F9" s="17">
        <f>COUNTIF('M3 Carga'!$J$9:$J$67,"BLOQUEADA")</f>
        <v/>
      </c>
      <c r="G9" s="17">
        <f>SUM(C9:F9)</f>
        <v/>
      </c>
      <c r="H9" s="35">
        <f>IFERROR((C9+D9)/G9,0)</f>
        <v/>
      </c>
    </row>
    <row r="10" ht="20.15" customHeight="1" s="45">
      <c r="B10" s="34" t="inlineStr">
        <is>
          <t>Pruebas de estrés</t>
        </is>
      </c>
      <c r="C10" s="17">
        <f>COUNTIF('M4 Estres'!$J$9:$J$16,"APROBADA")</f>
        <v/>
      </c>
      <c r="D10" s="17">
        <f>COUNTIF('M4 Estres'!$J$9:$J$16,"OBSERVACION")</f>
        <v/>
      </c>
      <c r="E10" s="17">
        <f>COUNTIF('M4 Estres'!$J$9:$J$16,"FALLIDA")</f>
        <v/>
      </c>
      <c r="F10" s="17">
        <f>COUNTIF('M4 Estres'!$J$9:$J$16,"BLOQUEADA")</f>
        <v/>
      </c>
      <c r="G10" s="17">
        <f>SUM(C10:F10)</f>
        <v/>
      </c>
      <c r="H10" s="35">
        <f>IFERROR((C10+D10)/G10,0)</f>
        <v/>
      </c>
    </row>
    <row r="11">
      <c r="B11" s="36" t="inlineStr">
        <is>
          <t>TOTAL</t>
        </is>
      </c>
      <c r="C11" s="54">
        <f>SUM(C7:C10)</f>
        <v/>
      </c>
      <c r="D11" s="54">
        <f>SUM(D7:D10)</f>
        <v/>
      </c>
      <c r="E11" s="54">
        <f>SUM(E7:E10)</f>
        <v/>
      </c>
      <c r="F11" s="54">
        <f>SUM(F7:F10)</f>
        <v/>
      </c>
      <c r="G11" s="54">
        <f>SUM(G7:G10)</f>
        <v/>
      </c>
      <c r="H11" s="37">
        <f>IFERROR((C11+D11)/G11,0)</f>
        <v/>
      </c>
    </row>
    <row r="13" ht="24" customHeight="1" s="45">
      <c r="B13" s="33" t="inlineStr">
        <is>
          <t>Dictamen automático</t>
        </is>
      </c>
      <c r="C13" s="44">
        <f>IF(G11=0,"SIN EJECUTAR - todavia no se ha registrado ningun resultado",IF(E11&gt;0,"NO LIBERAR - hay "&amp;E11&amp;" prueba(s) fallida(s)",IF(F11&gt;0,"REVISAR - hay "&amp;F11&amp;" prueba(s) bloqueada(s)",IF(D11&gt;0,"LIBERAR CON OBSERVACIONES - "&amp;D11&amp;" hallazgo(s) a vigilar","LIBERAR - todas las pruebas aprobadas"))))</f>
        <v/>
      </c>
      <c r="D13" s="55" t="n"/>
      <c r="E13" s="55" t="n"/>
      <c r="F13" s="55" t="n"/>
      <c r="G13" s="55" t="n"/>
      <c r="H13" s="56" t="n"/>
    </row>
    <row r="14">
      <c r="C14" s="38" t="inlineStr">
        <is>
          <t>PU</t>
        </is>
      </c>
      <c r="D14" s="38" t="inlineStr">
        <is>
          <t>PI</t>
        </is>
      </c>
      <c r="E14" s="38" t="inlineStr">
        <is>
          <t>PC</t>
        </is>
      </c>
      <c r="F14" s="38" t="inlineStr">
        <is>
          <t>Escalones</t>
        </is>
      </c>
      <c r="G14" s="38" t="inlineStr">
        <is>
          <t>Total</t>
        </is>
      </c>
      <c r="H14" s="38" t="inlineStr">
        <is>
          <t>% ejecutado</t>
        </is>
      </c>
    </row>
    <row r="15">
      <c r="B15" s="1" t="inlineStr">
        <is>
          <t>Casos planificados en el libro</t>
        </is>
      </c>
      <c r="C15" s="17">
        <f>COUNTA('M1 Unitarias'!$A$9:$A$67)</f>
        <v/>
      </c>
      <c r="D15" s="17">
        <f>COUNTA('M2 Integracion'!$A$9:$A$67)</f>
        <v/>
      </c>
      <c r="E15" s="17">
        <f>COUNTA('M3 Carga'!$A$9:$A$67)</f>
        <v/>
      </c>
      <c r="F15" s="17">
        <f>COUNTA('M4 Estres'!$A$9:$A$16)</f>
        <v/>
      </c>
      <c r="G15" s="17">
        <f>SUM(C15:F15)</f>
        <v/>
      </c>
      <c r="H15" s="39">
        <f>IFERROR(G11/G15,0)</f>
        <v/>
      </c>
    </row>
  </sheetData>
  <mergeCells count="3">
    <mergeCell ref="B4:H4"/>
    <mergeCell ref="C13:H13"/>
    <mergeCell ref="B2:H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B2:E26"/>
  <sheetViews>
    <sheetView showGridLines="0" topLeftCell="A9" workbookViewId="0">
      <selection activeCell="I23" sqref="I23"/>
    </sheetView>
  </sheetViews>
  <sheetFormatPr baseColWidth="10" defaultColWidth="9.1796875" defaultRowHeight="14.5"/>
  <cols>
    <col width="3" customWidth="1" style="45" min="1" max="1"/>
    <col width="38" customWidth="1" style="45" min="2" max="2"/>
    <col width="24" customWidth="1" style="45" min="3" max="3"/>
    <col width="30" customWidth="1" style="45" min="4" max="4"/>
    <col width="30.54296875" customWidth="1" style="45" min="5" max="5"/>
  </cols>
  <sheetData>
    <row r="2" ht="26.15" customHeight="1" s="45">
      <c r="B2" s="46" t="inlineStr">
        <is>
          <t>CRITERIOS DE ACEPTACIÓN PARA LA ENTREGA · portfolio (codebymike.tech)</t>
        </is>
      </c>
    </row>
    <row r="4">
      <c r="B4" s="47" t="n"/>
    </row>
    <row r="6" ht="26.15" customHeight="1" s="45">
      <c r="B6" s="54" t="inlineStr">
        <is>
          <t>Criterio</t>
        </is>
      </c>
      <c r="C6" s="54" t="inlineStr">
        <is>
          <t>Umbral acordado</t>
        </is>
      </c>
      <c r="D6" s="54" t="inlineStr">
        <is>
          <t>Resultado obtenido</t>
        </is>
      </c>
      <c r="E6" s="54" t="inlineStr">
        <is>
          <t>Cumple</t>
        </is>
      </c>
    </row>
    <row r="7" ht="20.15" customHeight="1" s="45">
      <c r="B7" s="40" t="inlineStr">
        <is>
          <t>Pruebas unitarias aprobadas (Vitest)</t>
        </is>
      </c>
      <c r="C7" s="41" t="inlineStr">
        <is>
          <t>1379 de 1379</t>
        </is>
      </c>
      <c r="D7" s="42" t="inlineStr">
        <is>
          <t>1379 de 1379 (413 suites, 0 fallos, 2026-08-31)</t>
        </is>
      </c>
      <c r="E7" s="28" t="inlineStr">
        <is>
          <t>SI</t>
        </is>
      </c>
    </row>
    <row r="8" ht="20.15" customHeight="1" s="45">
      <c r="B8" s="40" t="inlineStr">
        <is>
          <t>Cobertura de líneas de src/lib (v8, `npm run test:coverage`)</t>
        </is>
      </c>
      <c r="C8" s="41" t="inlineStr">
        <is>
          <t>≥ 80 %</t>
        </is>
      </c>
      <c r="D8" s="42" t="inlineStr">
        <is>
          <t>71.84 % (3777/5257 líneas)</t>
        </is>
      </c>
      <c r="E8" s="28" t="inlineStr">
        <is>
          <t>NO</t>
        </is>
      </c>
    </row>
    <row r="9" ht="30.5" customHeight="1" s="45">
      <c r="B9" s="40" t="inlineStr">
        <is>
          <t>Cobertura de ramas de src/lib (v8)</t>
        </is>
      </c>
      <c r="C9" s="41" t="inlineStr">
        <is>
          <t>≥ 70 %</t>
        </is>
      </c>
      <c r="D9" s="42" t="inlineStr">
        <is>
          <t>65.67 % (2870/4370 ramas)</t>
        </is>
      </c>
      <c r="E9" s="28" t="inlineStr">
        <is>
          <t>NO</t>
        </is>
      </c>
    </row>
    <row r="10" ht="20.15" customHeight="1" s="45">
      <c r="B10" s="40" t="inlineStr">
        <is>
          <t>Pruebas de integración (Playwright e2e) aprobadas</t>
        </is>
      </c>
      <c r="C10" s="41" t="inlineStr">
        <is>
          <t>48 de 48</t>
        </is>
      </c>
      <c r="D10" s="42" t="inlineStr">
        <is>
          <t>44 aprobadas, 1 fallida, 3 bloqueadas en cascada, de 48 (2026-08-31)</t>
        </is>
      </c>
      <c r="E10" s="28" t="inlineStr">
        <is>
          <t>NO</t>
        </is>
      </c>
    </row>
    <row r="11" ht="20.15" customHeight="1" s="45">
      <c r="B11" s="40" t="inlineStr">
        <is>
          <t>Defecto BUG-01 corregido y verificado</t>
        </is>
      </c>
      <c r="C11" s="41" t="inlineStr">
        <is>
          <t>Sí</t>
        </is>
      </c>
      <c r="D11" s="42" t="inlineStr">
        <is>
          <t>Pendiente: capa viva del portal (digest) responde 401 en vez de 200 (ver PI-11)</t>
        </is>
      </c>
      <c r="E11" s="28" t="inlineStr">
        <is>
          <t>NO</t>
        </is>
      </c>
    </row>
    <row r="12" ht="20.15" customHeight="1" s="45">
      <c r="B12" s="40" t="inlineStr">
        <is>
          <t>Percentil 95 de rutas públicas a la carga declarada (25 VUs)</t>
        </is>
      </c>
      <c r="C12" s="41" t="inlineStr">
        <is>
          <t>≤ 800 ms</t>
        </is>
      </c>
      <c r="D12" s="42" t="inlineStr">
        <is>
          <t>2591 ms (PC-01)</t>
        </is>
      </c>
      <c r="E12" s="28" t="inlineStr">
        <is>
          <t>NO</t>
        </is>
      </c>
    </row>
    <row r="13" ht="20.15" customHeight="1" s="45">
      <c r="B13" s="40" t="inlineStr">
        <is>
          <t>Tasa de error bajo la carga declarada (25 VUs)</t>
        </is>
      </c>
      <c r="C13" s="41" t="inlineStr">
        <is>
          <t>&lt; 1 %</t>
        </is>
      </c>
      <c r="D13" s="42" t="inlineStr">
        <is>
          <t>0 % (PC-02)</t>
        </is>
      </c>
      <c r="E13" s="28" t="inlineStr">
        <is>
          <t>SI</t>
        </is>
      </c>
    </row>
    <row r="14" ht="20.15" customHeight="1" s="45">
      <c r="B14" s="40" t="inlineStr">
        <is>
          <t>Throughput exitoso mínimo sostenido a la carga declarada</t>
        </is>
      </c>
      <c r="C14" s="41" t="inlineStr">
        <is>
          <t>≥ 60 req/s</t>
        </is>
      </c>
      <c r="D14" s="42" t="inlineStr">
        <is>
          <t>11.8 req/s (PC-10)</t>
        </is>
      </c>
      <c r="E14" s="28" t="inlineStr">
        <is>
          <t>NO</t>
        </is>
      </c>
    </row>
    <row r="15" ht="20.15" customHeight="1" s="45">
      <c r="B15" s="40" t="inlineStr">
        <is>
          <t>Punto de saturación identificado y documentado</t>
        </is>
      </c>
      <c r="C15" s="41" t="inlineStr">
        <is>
          <t>Sí</t>
        </is>
      </c>
      <c r="D15" s="42" t="inlineStr">
        <is>
          <t>Sí: entre 100 y 200 req/s ofrecidos (E2→E3)</t>
        </is>
      </c>
      <c r="E15" s="28" t="inlineStr">
        <is>
          <t>SI</t>
        </is>
      </c>
    </row>
    <row r="16" ht="20.15" customHeight="1" s="45">
      <c r="B16" s="40" t="inlineStr">
        <is>
          <t>Punto de quiebre identificado y documentado</t>
        </is>
      </c>
      <c r="C16" s="41" t="inlineStr">
        <is>
          <t>Sí</t>
        </is>
      </c>
      <c r="D16" s="42" t="inlineStr">
        <is>
          <t>Sí: 200 req/s ofrecidos, 76.3 % de error (E3, H-01)</t>
        </is>
      </c>
      <c r="E16" s="28" t="inlineStr">
        <is>
          <t>SI</t>
        </is>
      </c>
    </row>
    <row r="17" ht="20.15" customHeight="1" s="45">
      <c r="B17" s="40" t="inlineStr">
        <is>
          <t>Recuperación tras el estrés</t>
        </is>
      </c>
      <c r="C17" s="41" t="inlineStr">
        <is>
          <t>&lt; 5 min</t>
        </is>
      </c>
      <c r="D17" s="42" t="inlineStr">
        <is>
          <t>~75-90 s hasta converger por completo (H-02)</t>
        </is>
      </c>
      <c r="E17" s="28" t="inlineStr">
        <is>
          <t>SI</t>
        </is>
      </c>
    </row>
    <row r="18" ht="20.15" customHeight="1" s="45">
      <c r="B18" s="40" t="inlineStr">
        <is>
          <t>Evidencias adjuntas en la guía</t>
        </is>
      </c>
      <c r="C18" s="41" t="inlineStr">
        <is>
          <t>15 pantallazos</t>
        </is>
      </c>
      <c r="D18" s="42" t="inlineStr">
        <is>
          <t>Pendiente: corrida automatizada (JSON de vitest/playwright/k6), sin captura manual todavía</t>
        </is>
      </c>
      <c r="E18" s="28" t="inlineStr">
        <is>
          <t>NO</t>
        </is>
      </c>
    </row>
    <row r="19" ht="20.15" customHeight="1" s="45">
      <c r="B19" s="40" t="inlineStr">
        <is>
          <t>Matriz firmada con versión, entorno y fecha</t>
        </is>
      </c>
      <c r="C19" s="41" t="inlineStr">
        <is>
          <t>Sí</t>
        </is>
      </c>
      <c r="D19" s="42" t="inlineStr">
        <is>
          <t>Sí, en cada hoja (M1-M4) y en esta</t>
        </is>
      </c>
      <c r="E19" s="28" t="inlineStr">
        <is>
          <t>SI</t>
        </is>
      </c>
    </row>
    <row r="21">
      <c r="B21" s="1" t="inlineStr">
        <is>
          <t>Criterios cumplidos</t>
        </is>
      </c>
      <c r="C21" s="43">
        <f>COUNTIF(E7:E19,"SI")&amp;" de 13"</f>
        <v/>
      </c>
    </row>
    <row r="22" ht="24" customHeight="1" s="45">
      <c r="B22" s="1" t="inlineStr">
        <is>
          <t>Dictamen</t>
        </is>
      </c>
      <c r="C22" s="44">
        <f>IF(COUNTIF(E7:E19,"&lt;&gt;")=0,"SIN EVALUAR",IF(COUNTIF(E7:E19,"NO")&gt;0,"NO APROBADO - "&amp;COUNTIF(E7:E19,"NO")&amp;" criterio(s) sin cumplir","APROBADO"))</f>
        <v/>
      </c>
      <c r="D22" s="55" t="n"/>
      <c r="E22" s="56" t="n"/>
    </row>
    <row r="24">
      <c r="B24" s="9" t="inlineStr">
        <is>
          <t>Responsable de las pruebas</t>
        </is>
      </c>
      <c r="C24" s="10" t="inlineStr">
        <is>
          <t>Mike (@mikerb95)</t>
        </is>
      </c>
    </row>
    <row r="25">
      <c r="B25" s="9" t="inlineStr">
        <is>
          <t>Instructor</t>
        </is>
      </c>
      <c r="C25" s="10" t="inlineStr">
        <is>
          <t>N/A — proyecto de práctica independiente, sin instructor asignado en esta iteración</t>
        </is>
      </c>
    </row>
    <row r="26">
      <c r="B26" s="9" t="inlineStr">
        <is>
          <t>Fecha de la evaluación</t>
        </is>
      </c>
      <c r="C26" s="10" t="inlineStr">
        <is>
          <t>2026-08-31</t>
        </is>
      </c>
    </row>
  </sheetData>
  <mergeCells count="3">
    <mergeCell ref="C22:E22"/>
    <mergeCell ref="B2:E2"/>
    <mergeCell ref="B4:E4"/>
  </mergeCells>
  <conditionalFormatting sqref="E7:E19">
    <cfRule type="cellIs" priority="1" operator="equal" dxfId="1">
      <formula>"SI"</formula>
    </cfRule>
    <cfRule type="cellIs" priority="2" operator="equal" dxfId="0">
      <formula>"NO"</formula>
    </cfRule>
  </conditionalFormatting>
  <dataValidations count="1">
    <dataValidation sqref="E7:E19" showDropDown="0" showInputMessage="0" showErrorMessage="0" allowBlank="1"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2026-08-10T03:38:54Z</dcterms:created>
  <dcterms:modified xmlns:dcterms="http://purl.org/dc/terms/" xmlns:xsi="http://www.w3.org/2001/XMLSchema-instance" xsi:type="dcterms:W3CDTF">2026-08-31T22:15:46Z</dcterms:modified>
  <cp:lastModifiedBy>DIANA LIZETH DELGADO SUAREZ</cp:lastModifiedBy>
</cp:coreProperties>
</file>