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ciones" sheetId="1" state="visible" r:id="rId3"/>
    <sheet name="M1 Unitarias" sheetId="2" state="visible" r:id="rId4"/>
    <sheet name="M2 Integracion" sheetId="3" state="visible" r:id="rId5"/>
    <sheet name="M3 Carga" sheetId="4" state="visible" r:id="rId6"/>
    <sheet name="M4 Estres" sheetId="5" state="visible" r:id="rId7"/>
    <sheet name="Resumen" sheetId="6" state="visible" r:id="rId8"/>
    <sheet name="Criterio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<sst xmlns="http://schemas.openxmlformats.org/spreadsheetml/2006/main" count="572" uniqueCount="416">
  <si>
    <t xml:space="preserve">MATRIZ DE RESULTADOS DE PRUEBAS · PORTFOLIO (codebymike.tech)</t>
  </si>
  <si>
    <t xml:space="preserve">Adaptado del formato original a este repo: Astro 7 SSR + Turso/libSQL + Drizzle, con Vitest, Playwright y k6.</t>
  </si>
  <si>
    <t xml:space="preserve">Hojas del libro</t>
  </si>
  <si>
    <t xml:space="preserve">M1 Unitarias</t>
  </si>
  <si>
    <t xml:space="preserve">Casos PU-01 a PU-10. Se llenan con la corrida real de `npx vitest run` sobre tests/*.test.ts.</t>
  </si>
  <si>
    <t xml:space="preserve">M2 Integracion</t>
  </si>
  <si>
    <t xml:space="preserve">Casos PI-01 a PI-12. Se llenan con la corrida real de `npx playwright test` sobre e2e/*.spec.ts (no hay una capa de integración separada en este repo: los flujos completos HTTP+BD+UI se prueban con Playwright, ver CLAUDE.md).</t>
  </si>
  <si>
    <t xml:space="preserve">M3 Carga</t>
  </si>
  <si>
    <t xml:space="preserve">Casos PC-01 a PC-10. Se llenan con el JSON de salida de `k6 run lab/k6/carga.js` (lab/k6/resultados/).</t>
  </si>
  <si>
    <t xml:space="preserve">M4 Estres</t>
  </si>
  <si>
    <t xml:space="preserve">Escalones E1 a E6 más el escalón de recuperación, y la lista de hallazgos, desde `k6 run lab/k6/estres.js` (lab/k6/resultados/).</t>
  </si>
  <si>
    <t xml:space="preserve">Resumen</t>
  </si>
  <si>
    <t xml:space="preserve">Se calcula solo con fórmulas y emite el dictamen. No escribir nada en esta hoja.</t>
  </si>
  <si>
    <t xml:space="preserve">Criterios</t>
  </si>
  <si>
    <t xml:space="preserve">Umbrales pactados frente a resultados. Solo se editan los umbrales y el resultado.</t>
  </si>
  <si>
    <t xml:space="preserve">Cómo se usa</t>
  </si>
  <si>
    <t xml:space="preserve">1. Ya está preparado</t>
  </si>
  <si>
    <t xml:space="preserve">Las columnas ID, Requisito, Elemento, Caso de prueba, Entrada y Resultado esperado vienen escritas: son la planeación, que se define ANTES de ejecutar.</t>
  </si>
  <si>
    <t xml:space="preserve">2. Ejecute las pruebas</t>
  </si>
  <si>
    <t xml:space="preserve">Siga los pasos de la guía y ejecute mvnw.cmd test, mvnw.cmd verify y JMeter.</t>
  </si>
  <si>
    <t xml:space="preserve">3. Llene lo azul</t>
  </si>
  <si>
    <t xml:space="preserve">Escriba el Resultado obtenido copiándolo del informe, nunca de memoria.</t>
  </si>
  <si>
    <t xml:space="preserve">4. Elija el estado</t>
  </si>
  <si>
    <t xml:space="preserve">Use la lista desplegable de la columna Estado. El color se aplica solo.</t>
  </si>
  <si>
    <t xml:space="preserve">5. Registre defectos</t>
  </si>
  <si>
    <t xml:space="preserve">Si un caso falla, anote el identificador del reporte y la ruta de la evidencia.</t>
  </si>
  <si>
    <t xml:space="preserve">6. Firme</t>
  </si>
  <si>
    <t xml:space="preserve">Complete la cabecera de cada hoja: versión, entorno, fecha y responsable.</t>
  </si>
  <si>
    <t xml:space="preserve">Convención de colores</t>
  </si>
  <si>
    <t xml:space="preserve">Texto azul</t>
  </si>
  <si>
    <t xml:space="preserve">Celda que debe llenar usted.</t>
  </si>
  <si>
    <t xml:space="preserve">Texto negro</t>
  </si>
  <si>
    <t xml:space="preserve">Dato ya escrito o fórmula calculada. No lo sobrescriba.</t>
  </si>
  <si>
    <t xml:space="preserve">Fondo crema</t>
  </si>
  <si>
    <t xml:space="preserve">Fila de EJEMPLO. Muestra el formato esperado. Bórrela cuando escriba sus datos.</t>
  </si>
  <si>
    <t xml:space="preserve">Fondo verde</t>
  </si>
  <si>
    <t xml:space="preserve">APROBADA · el resultado obtenido coincide con el esperado.</t>
  </si>
  <si>
    <t xml:space="preserve">Fondo rojo</t>
  </si>
  <si>
    <t xml:space="preserve">FALLIDA · difiere del esperado. Abra un reporte de defecto.</t>
  </si>
  <si>
    <t xml:space="preserve">Fondo amarillo</t>
  </si>
  <si>
    <t xml:space="preserve">OBSERVACION · cumple, pero con margen estrecho o con un hallazgo anexo.</t>
  </si>
  <si>
    <t xml:space="preserve">Fondo gris</t>
  </si>
  <si>
    <t xml:space="preserve">BLOQUEADA · no se pudo ejecutar por un impedimento externo.</t>
  </si>
  <si>
    <t xml:space="preserve">Prefijos de identificador</t>
  </si>
  <si>
    <t xml:space="preserve">PU-nn</t>
  </si>
  <si>
    <t xml:space="preserve">Prueba unitaria · clases que terminan en Test</t>
  </si>
  <si>
    <t xml:space="preserve">PI-nn</t>
  </si>
  <si>
    <t xml:space="preserve">Prueba de integración · clases que terminan en IT</t>
  </si>
  <si>
    <t xml:space="preserve">PC-nn</t>
  </si>
  <si>
    <t xml:space="preserve">Prueba de carga · JMeter</t>
  </si>
  <si>
    <t xml:space="preserve">En / R</t>
  </si>
  <si>
    <t xml:space="preserve">Escalón n de la prueba de estrés · R es el escalón de recuperación</t>
  </si>
  <si>
    <t xml:space="preserve">BUG-nn</t>
  </si>
  <si>
    <t xml:space="preserve">Reporte de defecto abierto a partir de un caso fallido</t>
  </si>
  <si>
    <t xml:space="preserve">Regla de oro: el resultado esperado se define ANTES de ejecutar la prueba. Escribirlo después de ver el obtenido anula por completo el valor de la prueba.</t>
  </si>
  <si>
    <t xml:space="preserve">M1 · MATRIZ DE PRUEBAS UNITARIAS · portfolio (codebymike.tech)</t>
  </si>
  <si>
    <t xml:space="preserve">Proyecto:</t>
  </si>
  <si>
    <t xml:space="preserve">portfolio · Astro 7 SSR + Turso/libSQL + Drizzle</t>
  </si>
  <si>
    <t xml:space="preserve">Entorno:</t>
  </si>
  <si>
    <t xml:space="preserve">Node 22.22.3 · Astro 7 · Vitest 3 (entorno node)</t>
  </si>
  <si>
    <t xml:space="preserve">Responsable:</t>
  </si>
  <si>
    <t xml:space="preserve">Mike Rodriguez</t>
  </si>
  <si>
    <t xml:space="preserve">2026-08-31</t>
  </si>
  <si>
    <t xml:space="preserve">Herramienta:</t>
  </si>
  <si>
    <t xml:space="preserve">Vitest + @vitest/coverage-v8</t>
  </si>
  <si>
    <t xml:space="preserve">Informe:</t>
  </si>
  <si>
    <t xml:space="preserve">npx vitest run --reporter=json · npx vitest run --coverage</t>
  </si>
  <si>
    <t xml:space="preserve">Nota · Este repo prioriza lógica pura sin BD en tests/ (funciones de src/lib/ que no importan ../db), como pide CLAUDE.md. La corrida completa el 2026-08-31 dio 1379/1379 tests OK en 413 suites (0 fallos). Los 10 casos de esta hoja son una muestra representativa de esas 413 suites, elegidos para cubrir seguridad, pagos, aislamiento multi-tenant, criptografía, telefonía y agenda.</t>
  </si>
  <si>
    <t xml:space="preserve">ID</t>
  </si>
  <si>
    <t xml:space="preserve">Requisito</t>
  </si>
  <si>
    <t xml:space="preserve">Clase / método bajo prueba</t>
  </si>
  <si>
    <t xml:space="preserve">Caso de prueba</t>
  </si>
  <si>
    <t xml:space="preserve">Entrada / Condición</t>
  </si>
  <si>
    <t xml:space="preserve">Resultado esperado</t>
  </si>
  <si>
    <t xml:space="preserve">Resultado obtenido</t>
  </si>
  <si>
    <t xml:space="preserve">Estado</t>
  </si>
  <si>
    <t xml:space="preserve">Defecto</t>
  </si>
  <si>
    <t xml:space="preserve">Evidencia</t>
  </si>
  <si>
    <t xml:space="preserve">PU-01</t>
  </si>
  <si>
    <t xml:space="preserve">RF-607</t>
  </si>
  <si>
    <t xml:space="preserve">src/lib/security/classify.ts · classify</t>
  </si>
  <si>
    <t xml:space="preserve">El tráfico legítimo no dispara falsos positivos</t>
  </si>
  <si>
    <t xml:space="preserve">Rutas de navegación normal (/, /projects, búsquedas con querystring)</t>
  </si>
  <si>
    <t xml:space="preserve">classify() no devuelve ninguna categoría de amenaza</t>
  </si>
  <si>
    <t xml:space="preserve">Ninguna de las rutas legítimas probadas generó una categoría</t>
  </si>
  <si>
    <t xml:space="preserve">APROBADA</t>
  </si>
  <si>
    <t xml:space="preserve">—</t>
  </si>
  <si>
    <t xml:space="preserve">tests/security-classify.test.ts</t>
  </si>
  <si>
    <t xml:space="preserve">PU-02</t>
  </si>
  <si>
    <t xml:space="preserve">Los honeypots conocidos se marcan como críticos</t>
  </si>
  <si>
    <t xml:space="preserve">GET a rutas honeypot (ej. rutas de administración falsas, .env)</t>
  </si>
  <si>
    <t xml:space="preserve">classify() devuelve categoría "honeypot" con severidad crítica</t>
  </si>
  <si>
    <t xml:space="preserve">Las rutas honeypot probadas se marcaron correctamente</t>
  </si>
  <si>
    <t xml:space="preserve">PU-03</t>
  </si>
  <si>
    <t xml:space="preserve">RF-502</t>
  </si>
  <si>
    <t xml:space="preserve">src/lib/payments-state.ts · máquina de estados</t>
  </si>
  <si>
    <t xml:space="preserve">Flujo feliz created → pending → approved es una transición válida</t>
  </si>
  <si>
    <t xml:space="preserve">Secuencia de estados en orden normal</t>
  </si>
  <si>
    <t xml:space="preserve">La transición se acepta sin lanzar error</t>
  </si>
  <si>
    <t xml:space="preserve">Transición aceptada</t>
  </si>
  <si>
    <t xml:space="preserve">tests/payments.test.ts</t>
  </si>
  <si>
    <t xml:space="preserve">PU-04</t>
  </si>
  <si>
    <t xml:space="preserve">Un pago aprobado no retrocede a "rechazado" tras un webhook fuera de orden</t>
  </si>
  <si>
    <t xml:space="preserve">Estado actual approved; llega un webhook con estado rejected</t>
  </si>
  <si>
    <t xml:space="preserve">La transición se rechaza; solo se permite anular, no rechazar</t>
  </si>
  <si>
    <t xml:space="preserve">Transición bloqueada correctamente</t>
  </si>
  <si>
    <t xml:space="preserve">PU-05</t>
  </si>
  <si>
    <t xml:space="preserve">RF-802</t>
  </si>
  <si>
    <t xml:space="preserve">src/lib/portal/* · aislamiento entre clientes</t>
  </si>
  <si>
    <t xml:space="preserve">Cada cliente solo ve sus propias facturas</t>
  </si>
  <si>
    <t xml:space="preserve">Dos clientes con facturas propias en la misma tabla portal_invoices</t>
  </si>
  <si>
    <t xml:space="preserve">La consulta con clientId de A nunca devuelve filas de B</t>
  </si>
  <si>
    <t xml:space="preserve">26 tests de aislamiento (facturas, proyectos, hitos, resumen) pasan</t>
  </si>
  <si>
    <t xml:space="preserve">tests/portal-isolation.test.ts</t>
  </si>
  <si>
    <t xml:space="preserve">PU-06</t>
  </si>
  <si>
    <t xml:space="preserve">RF-303</t>
  </si>
  <si>
    <t xml:space="preserve">src/lib/security/crypto.ts (AES-256-GCM)</t>
  </si>
  <si>
    <t xml:space="preserve">Roundtrip de cifrado conserva el texto original</t>
  </si>
  <si>
    <t xml:space="preserve">Texto plano de prueba + ENCRYPTION_KEY válida</t>
  </si>
  <si>
    <t xml:space="preserve">decrypt(encrypt(texto)) === texto</t>
  </si>
  <si>
    <t xml:space="preserve">Roundtrip correcto en todos los casos probados</t>
  </si>
  <si>
    <t xml:space="preserve">tests/crypto.test.ts</t>
  </si>
  <si>
    <t xml:space="preserve">PU-07</t>
  </si>
  <si>
    <t xml:space="preserve">Un ciphertext manipulado no descifra</t>
  </si>
  <si>
    <t xml:space="preserve">Cadena iv:tag:datos con un byte alterado</t>
  </si>
  <si>
    <t xml:space="preserve">decrypt() lanza error de integridad (tag GCM inválido)</t>
  </si>
  <si>
    <t xml:space="preserve">Lanza el error esperado</t>
  </si>
  <si>
    <t xml:space="preserve">PU-08</t>
  </si>
  <si>
    <t xml:space="preserve">RF-306</t>
  </si>
  <si>
    <t xml:space="preserve">src/lib/phone.ts · normalizePhone</t>
  </si>
  <si>
    <t xml:space="preserve">Normaliza los formatos en que un cliente colombiano escribe su celular</t>
  </si>
  <si>
    <t xml:space="preserve">"3001234567", "300 123 4567", "+57 300 123 4567", etc.</t>
  </si>
  <si>
    <t xml:space="preserve">Todas las variantes normalizan al mismo E.164 (+573001234567)</t>
  </si>
  <si>
    <t xml:space="preserve">Normalización consistente en todas las variantes probadas</t>
  </si>
  <si>
    <t xml:space="preserve">tests/phone.test.ts</t>
  </si>
  <si>
    <t xml:space="preserve">PU-09</t>
  </si>
  <si>
    <t xml:space="preserve">RF-012</t>
  </si>
  <si>
    <t xml:space="preserve">src/lib/festivos-co.ts · festivosDe</t>
  </si>
  <si>
    <t xml:space="preserve">Colombia tiene 18 festivos al año, con la Ley Emiliani aplicada</t>
  </si>
  <si>
    <t xml:space="preserve">Año calendario de referencia</t>
  </si>
  <si>
    <t xml:space="preserve">18 fechas; los festivos móviles corren al lunes según la ley, los de fecha fija no</t>
  </si>
  <si>
    <t xml:space="preserve">18 festivos, corrimiento correcto</t>
  </si>
  <si>
    <t xml:space="preserve">tests/festivos-co.test.ts</t>
  </si>
  <si>
    <t xml:space="preserve">PU-10</t>
  </si>
  <si>
    <t xml:space="preserve">RF-204</t>
  </si>
  <si>
    <t xml:space="preserve">src/lib/normalization.ts · normalizeInteractionInput</t>
  </si>
  <si>
    <t xml:space="preserve">Una interacción nueva recibe sus valores por defecto</t>
  </si>
  <si>
    <t xml:space="preserve">Body parcial sin tipo ni fecha de ocurrencia</t>
  </si>
  <si>
    <t xml:space="preserve">tipo cae a "note", occurredAt cae a "ahora", ids ausentes quedan null</t>
  </si>
  <si>
    <t xml:space="preserve">Defaults aplicados correctamente</t>
  </si>
  <si>
    <t xml:space="preserve">tests/normalization.test.ts</t>
  </si>
  <si>
    <t xml:space="preserve">M2 · MATRIZ DE PRUEBAS DE INTEGRACIÓN · portfolio (codebymike.tech)</t>
  </si>
  <si>
    <t xml:space="preserve">Node 22.22.3 · Astro 7 dev · sqld local (Turso) en Docker (docker compose)</t>
  </si>
  <si>
    <t xml:space="preserve">Playwright (Chromium)</t>
  </si>
  <si>
    <t xml:space="preserve">playwright-report/ · npx playwright test --reporter=json</t>
  </si>
  <si>
    <t xml:space="preserve">Nota · Este repo no separa "integración" de "unitaria" a la manera de un proyecto Java (no hay clases *IT): los flujos completos (HTTP + base de datos + UI) se prueban con Playwright end-to-end contra Turso local, ver e2e/*.spec.ts. Esta hoja documenta esa capa. Corrida real del 2026-08-31: 44 aprobadas, 1 fallida, 3 bloqueadas (bloqueo en cascada por modo serie), de 48 casos.</t>
  </si>
  <si>
    <t xml:space="preserve">Componentes integrados</t>
  </si>
  <si>
    <t xml:space="preserve">Escenario</t>
  </si>
  <si>
    <t xml:space="preserve">Precondición</t>
  </si>
  <si>
    <t xml:space="preserve">PI-01</t>
  </si>
  <si>
    <t xml:space="preserve">RF-101</t>
  </si>
  <si>
    <t xml:space="preserve">Middleware auth + Auth.js (GitHub OAuth)</t>
  </si>
  <si>
    <t xml:space="preserve">/admin sin sesión redirige al login</t>
  </si>
  <si>
    <t xml:space="preserve">GET /admin sin cookie de sesión admin</t>
  </si>
  <si>
    <t xml:space="preserve">HTTP 3xx con destino /login</t>
  </si>
  <si>
    <t xml:space="preserve">Redirección correcta</t>
  </si>
  <si>
    <t xml:space="preserve">PI-02</t>
  </si>
  <si>
    <t xml:space="preserve">Middleware auth</t>
  </si>
  <si>
    <t xml:space="preserve">Las subpáginas del panel también están cerradas</t>
  </si>
  <si>
    <t xml:space="preserve">GET a varias rutas /admin/* sin sesión</t>
  </si>
  <si>
    <t xml:space="preserve">Todas redirigen a /login</t>
  </si>
  <si>
    <t xml:space="preserve">Redirección correcta en todas las subrutas probadas</t>
  </si>
  <si>
    <t xml:space="preserve">e2e/auth.spec.ts</t>
  </si>
  <si>
    <t xml:space="preserve">PI-03</t>
  </si>
  <si>
    <t xml:space="preserve">API /api/admin/*</t>
  </si>
  <si>
    <t xml:space="preserve">Las APIs del panel no responden a anónimos</t>
  </si>
  <si>
    <t xml:space="preserve">GET a endpoints /api/admin/* sin sesión</t>
  </si>
  <si>
    <t xml:space="preserve">HTTP 401/403</t>
  </si>
  <si>
    <t xml:space="preserve">Rechazadas correctamente</t>
  </si>
  <si>
    <t xml:space="preserve">PI-04</t>
  </si>
  <si>
    <t xml:space="preserve">Escribir en las APIs del panel tampoco funciona sin sesión</t>
  </si>
  <si>
    <t xml:space="preserve">POST a un endpoint de escritura sin sesión</t>
  </si>
  <si>
    <t xml:space="preserve">HTTP 401/403, sin efectos en la base</t>
  </si>
  <si>
    <t xml:space="preserve">Rechazado correctamente</t>
  </si>
  <si>
    <t xml:space="preserve">PI-05</t>
  </si>
  <si>
    <t xml:space="preserve">RF-003</t>
  </si>
  <si>
    <t xml:space="preserve">/api/contact + CRM</t>
  </si>
  <si>
    <t xml:space="preserve">Un mensaje de contacto válido se acepta</t>
  </si>
  <si>
    <t xml:space="preserve">POST con nombre, email y mensaje válidos</t>
  </si>
  <si>
    <t xml:space="preserve">HTTP 200 y mensaje visible en /admin/messages</t>
  </si>
  <si>
    <t xml:space="preserve">Aceptado y registrado</t>
  </si>
  <si>
    <t xml:space="preserve">PI-06</t>
  </si>
  <si>
    <t xml:space="preserve">/api/contact + validación</t>
  </si>
  <si>
    <t xml:space="preserve">Rechaza campos faltantes y email inválido</t>
  </si>
  <si>
    <t xml:space="preserve">POST con campos vacíos / email malformado</t>
  </si>
  <si>
    <t xml:space="preserve">HTTP 400 con detalle de validación, no se registra el mensaje</t>
  </si>
  <si>
    <t xml:space="preserve">Rechazado con 400</t>
  </si>
  <si>
    <t xml:space="preserve">e2e/contact.spec.ts</t>
  </si>
  <si>
    <t xml:space="preserve">PI-07</t>
  </si>
  <si>
    <t xml:space="preserve">RF-603</t>
  </si>
  <si>
    <t xml:space="preserve">/api/contact + rate limit durable</t>
  </si>
  <si>
    <t xml:space="preserve">El rate limit corta el envío en ráfaga</t>
  </si>
  <si>
    <t xml:space="preserve">Envíos consecutivos desde el mismo origen</t>
  </si>
  <si>
    <t xml:space="preserve">A partir del umbral, HTTP 429</t>
  </si>
  <si>
    <t xml:space="preserve">Cortado en 429 tras superar el umbral</t>
  </si>
  <si>
    <t xml:space="preserve">PI-08</t>
  </si>
  <si>
    <t xml:space="preserve">/api/payments/checkout (Wompi)</t>
  </si>
  <si>
    <t xml:space="preserve">La misma clave de idempotencia devuelve el mismo pago</t>
  </si>
  <si>
    <t xml:space="preserve">Dos POST con igual Idempotency-Key y el mismo monto</t>
  </si>
  <si>
    <t xml:space="preserve">Mismo id de pago en ambas respuestas, no se duplica el cobro</t>
  </si>
  <si>
    <t xml:space="preserve">Idempotencia verificada</t>
  </si>
  <si>
    <t xml:space="preserve">PI-09</t>
  </si>
  <si>
    <t xml:space="preserve">/api/payments/checkout</t>
  </si>
  <si>
    <t xml:space="preserve">La misma clave con otro monto es un conflicto, no un cobro silencioso</t>
  </si>
  <si>
    <t xml:space="preserve">Dos POST con igual clave, distinto monto</t>
  </si>
  <si>
    <t xml:space="preserve">HTTP 409, no se crea un segundo pago</t>
  </si>
  <si>
    <t xml:space="preserve">Conflicto detectado correctamente</t>
  </si>
  <si>
    <t xml:space="preserve">e2e/payments.spec.ts</t>
  </si>
  <si>
    <t xml:space="preserve">PI-10</t>
  </si>
  <si>
    <t xml:space="preserve">RF-008</t>
  </si>
  <si>
    <t xml:space="preserve">/demo + AsyncLocalStorage (base Turso separada)</t>
  </si>
  <si>
    <t xml:space="preserve">Ningún dato de la base principal aparece en la demo</t>
  </si>
  <si>
    <t xml:space="preserve">Recorrido de las páginas del panel en modo demo</t>
  </si>
  <si>
    <t xml:space="preserve">Solo datos ficticios; cero coincidencias con datos reales sembrados</t>
  </si>
  <si>
    <t xml:space="preserve">Cero fugas detectadas</t>
  </si>
  <si>
    <t xml:space="preserve">PI-11</t>
  </si>
  <si>
    <t xml:space="preserve">RF-807</t>
  </si>
  <si>
    <t xml:space="preserve">Portal + capa viva (digest en tiempo real)</t>
  </si>
  <si>
    <t xml:space="preserve">La capa viva del portal late con datos de la base demo</t>
  </si>
  <si>
    <t xml:space="preserve">Sesión demo activa, polling del digest del portal</t>
  </si>
  <si>
    <t xml:space="preserve">HTTP 200 con digest actualizado</t>
  </si>
  <si>
    <t xml:space="preserve">HTTP 401 en vez de 200: la sesión demo se invalida antes de que el polling la consulte</t>
  </si>
  <si>
    <t xml:space="preserve">FALLIDA</t>
  </si>
  <si>
    <t xml:space="preserve">e2e/demo.spec.ts</t>
  </si>
  <si>
    <t xml:space="preserve">PI-12</t>
  </si>
  <si>
    <t xml:space="preserve">RF-403</t>
  </si>
  <si>
    <t xml:space="preserve">/status</t>
  </si>
  <si>
    <t xml:space="preserve">/status publica uptime y SLO agregados</t>
  </si>
  <si>
    <t xml:space="preserve">GET /status público, sin sesión</t>
  </si>
  <si>
    <t xml:space="preserve">HTTP 200 con métricas agregadas de uptime/SLO, sin IPs ni detalle interno (OPSEC)</t>
  </si>
  <si>
    <t xml:space="preserve">Publicado correctamente</t>
  </si>
  <si>
    <t xml:space="preserve">BUG-01</t>
  </si>
  <si>
    <t xml:space="preserve">e2e/portal.spec.ts · playwright-report/ (2026-08-31); provocó el bloqueo en cascada de 3 casos posteriores en el mismo describe.serial</t>
  </si>
  <si>
    <t xml:space="preserve">e2e/public.spec.ts</t>
  </si>
  <si>
    <t xml:space="preserve">M3 · MATRIZ DE PRUEBAS DE CARGA · portfolio (codebymike.tech)</t>
  </si>
  <si>
    <t xml:space="preserve">Sistema:</t>
  </si>
  <si>
    <t xml:space="preserve">http://127.0.0.1:4400 (npm run dev:carga)</t>
  </si>
  <si>
    <t xml:space="preserve">Apache k6 · lab/k6/carga.js</t>
  </si>
  <si>
    <t xml:space="preserve">Node 22.22.3 · Astro 7 dev · sqld local (Turso) en Docker</t>
  </si>
  <si>
    <t xml:space="preserve">2026-08-10</t>
  </si>
  <si>
    <t xml:space="preserve">Perfil de carga:</t>
  </si>
  <si>
    <t xml:space="preserve">Escalera de concurrencia 10→1000 VUs (ramping-vus), rampa 10s + meseta 20s por nivel; métricas tomadas solo en meseta</t>
  </si>
  <si>
    <t xml:space="preserve">Nota · El único umbral formal del script (lab/k6/carga.js) es sobre el nivel 25 VUs, la concurrencia que el proyecto declara soportar (portafolio + portal de pocos clientes): p95&lt;800ms y tasa de error&lt;1%. Los demás niveles (10 a 1000 VUs) caracterizan la curva de capacidad y NO tienen umbral de aprobación: se registran como OBSERVACION. Fuente: lab/k6/resultados/carga-2026-08-10T05-26-20-277Z.json.</t>
  </si>
  <si>
    <t xml:space="preserve">Usuarios</t>
  </si>
  <si>
    <t xml:space="preserve">Métrica</t>
  </si>
  <si>
    <t xml:space="preserve">Criterio</t>
  </si>
  <si>
    <t xml:space="preserve">Objetivo</t>
  </si>
  <si>
    <t xml:space="preserve">Obtenido</t>
  </si>
  <si>
    <t xml:space="preserve">Desviación</t>
  </si>
  <si>
    <t xml:space="preserve">Cumple</t>
  </si>
  <si>
    <t xml:space="preserve">Observación</t>
  </si>
  <si>
    <t xml:space="preserve">PC-01</t>
  </si>
  <si>
    <t xml:space="preserve">Mezcla de rutas públicas (/, /status, /api/health, /tools)</t>
  </si>
  <si>
    <t xml:space="preserve">Percentil 95 (ms)</t>
  </si>
  <si>
    <t xml:space="preserve">&lt;=</t>
  </si>
  <si>
    <t xml:space="preserve">Umbral formal del script (nivel_25). El p95 real más que triplica el objetivo.</t>
  </si>
  <si>
    <t xml:space="preserve">PC-02</t>
  </si>
  <si>
    <t xml:space="preserve">Mezcla de rutas públicas</t>
  </si>
  <si>
    <t xml:space="preserve">Tasa de error (%)</t>
  </si>
  <si>
    <t xml:space="preserve">Umbral formal del script (nivel_25). Cero errores pese al p95 fuera de rango: el sistema responde lento pero correcto.</t>
  </si>
  <si>
    <t xml:space="preserve">PC-03</t>
  </si>
  <si>
    <t xml:space="preserve">OBSERVACION</t>
  </si>
  <si>
    <t xml:space="preserve">Nivel exploratorio, sin umbral de aprobación formal. Ya por encima de 1s con solo 10 VUs.</t>
  </si>
  <si>
    <t xml:space="preserve">PC-04</t>
  </si>
  <si>
    <t xml:space="preserve">La latencia escala fuertemente a partir de 50 VUs (8.3s de p95).</t>
  </si>
  <si>
    <t xml:space="preserve">PC-05</t>
  </si>
  <si>
    <t xml:space="preserve">p95 en el techo del timeout de k6 (10s): el servicio ya no responde a tiempo.</t>
  </si>
  <si>
    <t xml:space="preserve">PC-06</t>
  </si>
  <si>
    <t xml:space="preserve">Primeros errores visibles en 100 VUs (26.8%).</t>
  </si>
  <si>
    <t xml:space="preserve">PC-07</t>
  </si>
  <si>
    <t xml:space="preserve">Mayoría de peticiones ya fallan a 250 VUs.</t>
  </si>
  <si>
    <t xml:space="preserve">PC-08</t>
  </si>
  <si>
    <t xml:space="preserve">Servicio prácticamente caído a 500 VUs.</t>
  </si>
  <si>
    <t xml:space="preserve">PC-09</t>
  </si>
  <si>
    <t xml:space="preserve">100% de error y 0 req/s exitosas sostenidas a 1000 VUs.</t>
  </si>
  <si>
    <t xml:space="preserve">PC-10</t>
  </si>
  <si>
    <t xml:space="preserve">Servidor · throughput exitoso a la carga declarada</t>
  </si>
  <si>
    <t xml:space="preserve">Throughput exitoso (req/s)</t>
  </si>
  <si>
    <t xml:space="preserve">&gt;=</t>
  </si>
  <si>
    <t xml:space="preserve">El plan original pedía 60 req/s; el sitio sostiene ~11.8 req/s exitosas en el nivel que declara soportar (25 VUs). Servidor de desarrollo (astro dev), no build de producción.</t>
  </si>
  <si>
    <t xml:space="preserve">M4 · MATRIZ DE PRUEBA DE ESTRÉS · portfolio (codebymike.tech)</t>
  </si>
  <si>
    <t xml:space="preserve">Apache k6 · lab/k6/estres.js</t>
  </si>
  <si>
    <t xml:space="preserve">Node 22.22.3 · Astro 7 dev · sqld local (Turso) en Docker · host descontendido (11 contenedores ajenos detenidos)</t>
  </si>
  <si>
    <t xml:space="preserve">2026-08-27</t>
  </si>
  <si>
    <t xml:space="preserve">Objetivo:</t>
  </si>
  <si>
    <t xml:space="preserve">Punto de saturación, punto de quiebre y recuperación, vía ramping-arrival-rate 50→300 req/s en escalones de 30s + recuperación de 120s a 100 req/s</t>
  </si>
  <si>
    <t xml:space="preserve">Nota · A diferencia de la plantilla original (VUs fijos), este script controla el RITMO DE LLEGADA (ramping-arrival-rate, req/s ofrecidos), no la concurrencia: con VUs, el sistema se autoprotege bajando la carga cuando se satura y nunca se encuentra el punto de quiebre. La columna "Usuarios" muestra los VUs promedio que k6 tuvo que asignar para sostener ese ritmo (a más saturación, más VUs para la misma tasa de llegada). Fuente: lab/k6/resultados/estres-2026-08-27T15-10-31-684Z.json.</t>
  </si>
  <si>
    <t xml:space="preserve">Escalón</t>
  </si>
  <si>
    <t xml:space="preserve">Duración</t>
  </si>
  <si>
    <t xml:space="preserve">Throughput (req/s)</t>
  </si>
  <si>
    <t xml:space="preserve">p95 (ms)</t>
  </si>
  <si>
    <t xml:space="preserve">Error (%)</t>
  </si>
  <si>
    <t xml:space="preserve">CPU (%)</t>
  </si>
  <si>
    <t xml:space="preserve">Heap (%)</t>
  </si>
  <si>
    <t xml:space="preserve">E1</t>
  </si>
  <si>
    <t xml:space="preserve">30 s</t>
  </si>
  <si>
    <t xml:space="preserve">308 MB</t>
  </si>
  <si>
    <t xml:space="preserve">Escalón sano (50 req/s ofrecidos): línea base de comparación.</t>
  </si>
  <si>
    <t xml:space="preserve">E2</t>
  </si>
  <si>
    <t xml:space="preserve">354 MB</t>
  </si>
  <si>
    <t xml:space="preserve">Primer escalón degradado (100 req/s ofrecidos): el throughput ya no sigue al ritmo ofrecido y el p95 se dispara.</t>
  </si>
  <si>
    <t xml:space="preserve">E3</t>
  </si>
  <si>
    <t xml:space="preserve">355 MB</t>
  </si>
  <si>
    <t xml:space="preserve">¿Punto de quiebre? (200 req/s ofrecidos): la mayoría de peticiones agotan el timeout de 10s. H-01.</t>
  </si>
  <si>
    <t xml:space="preserve">E4</t>
  </si>
  <si>
    <t xml:space="preserve">s/d</t>
  </si>
  <si>
    <t xml:space="preserve">300 req/s ofrecidos, primera ventana: 100% de error. CPU/heap sin dato porque el propio endpoint de diagnóstico también se satura (H-04).</t>
  </si>
  <si>
    <t xml:space="preserve">E5</t>
  </si>
  <si>
    <t xml:space="preserve">300 req/s ofrecidos, segunda ventana: el colapso se sostiene, hasta 2930 VUs simultáneos asignados por k6.</t>
  </si>
  <si>
    <t xml:space="preserve">E6</t>
  </si>
  <si>
    <t xml:space="preserve">3 min</t>
  </si>
  <si>
    <t xml:space="preserve">No se ejecutó: el escalón anterior ya estaba en 100% de error; ampliar el ritmo no habría añadido información (ver diseño en lab/k6/estres.js).</t>
  </si>
  <si>
    <t xml:space="preserve">BLOQUEADA</t>
  </si>
  <si>
    <t xml:space="preserve">R</t>
  </si>
  <si>
    <t xml:space="preserve">120 s (8 tramos de 15 s)</t>
  </si>
  <si>
    <t xml:space="preserve">10000.6 (agregado) / 60.4 (tramo final)</t>
  </si>
  <si>
    <t xml:space="preserve">27.1 (agregado)</t>
  </si>
  <si>
    <t xml:space="preserve">6.1–16.1</t>
  </si>
  <si>
    <t xml:space="preserve">224–368 MB</t>
  </si>
  <si>
    <t xml:space="preserve">Agregado engañoso: los primeros 45s siguen saturados (p95≈10000ms); recién desde +75s converge (p50 24–26ms, p95 60–63ms), MEJOR que el propio E1. Recupera del todo pero no de inmediato: tarda ~75s en iniciar. H-02, H-03.</t>
  </si>
  <si>
    <t xml:space="preserve">Hallazgos de la prueba de estrés</t>
  </si>
  <si>
    <t xml:space="preserve">Hallazgo</t>
  </si>
  <si>
    <t xml:space="preserve">Evidencia observada</t>
  </si>
  <si>
    <t xml:space="preserve">Recomendación</t>
  </si>
  <si>
    <t xml:space="preserve">H-01</t>
  </si>
  <si>
    <t xml:space="preserve">Host limpio: el punto de quiebre vuelve a ~100 req/s (11 contenedores ajenos detenidos, load average 2.19→0.37-0.98). El escalón de 50 req/s vuelve a 0% de error, igual que la corrida sin contención del 22 ago.</t>
  </si>
  <si>
    <t xml:space="preserve">Repetir corridas de estrés siempre con el host descontendido; documentar la carga ambiental como variable de la prueba.</t>
  </si>
  <si>
    <t xml:space="preserve">H-02</t>
  </si>
  <si>
    <t xml:space="preserve">El agregado de la fase de recuperación (120s) da 27.1% de error y p95≈10000ms, pero por tramos de 15s se ve que converge del todo desde +75-90s (p50 24-26ms), mejor que el propio escalón sano E1.</t>
  </si>
  <si>
    <t xml:space="preserve">Medir siempre la recuperación por tramos, no en agregado: el agregado esconde una recuperación completa detrás de la cola inicial que aún drena.</t>
  </si>
  <si>
    <t xml:space="preserve">H-03</t>
  </si>
  <si>
    <t xml:space="preserve">El drenaje de ~60-75s tras cortar la carga no es contención de host: coincide con las ~2930 conexiones simultáneas que dejó el último escalón (300 req/s, 100% error, corte en seco con gracefulStop:"0s").</t>
  </si>
  <si>
    <t xml:space="preserve">El límite real parece ser la concurrencia de sockets/handlers de `astro dev`, no CPU/memoria; repetir contra un build de producción (astro build + preview, o Vercel) antes de fijar un SLO de capacidad.</t>
  </si>
  <si>
    <t xml:space="preserve">H-04</t>
  </si>
  <si>
    <t xml:space="preserve">cpuPct/heapMb quedan sin dato en los 2 últimos escalones (300 req/s) y en los primeros 45s de recuperación: el propio endpoint de diagnóstico /api/lab/proceso también se satura bajo esa carga.</t>
  </si>
  <si>
    <t xml:space="preserve">No depender de un endpoint HTTP para telemetría de proceso bajo saturación extrema; instrumentar con un mecanismo fuera de banda (métricas de sistema operativo o del proceso).</t>
  </si>
  <si>
    <t xml:space="preserve">H-05</t>
  </si>
  <si>
    <t xml:space="preserve">1.7 GiB de swap seguía en uso tras detener los contenedores ajenos (atribuible a mysqld de sistema y al escritorio), pero el load average bajó a 0.37-0.98 y los resultados coincidieron con la corrida sin contención previa.</t>
  </si>
  <si>
    <t xml:space="preserve">Para pruebas de estrés reproducibles, monitorear el load average del host como variable de control principal, no solo el swap residual.</t>
  </si>
  <si>
    <t xml:space="preserve">RESUMEN EJECUTIVO DE PRUEBAS · clasedominio</t>
  </si>
  <si>
    <t xml:space="preserve">Tipo de prueba</t>
  </si>
  <si>
    <t xml:space="preserve">Aprobadas</t>
  </si>
  <si>
    <t xml:space="preserve">Fallidas</t>
  </si>
  <si>
    <t xml:space="preserve">Bloqueadas</t>
  </si>
  <si>
    <t xml:space="preserve">Total ejecutadas</t>
  </si>
  <si>
    <t xml:space="preserve">% de éxito</t>
  </si>
  <si>
    <t xml:space="preserve">Pruebas unitarias</t>
  </si>
  <si>
    <t xml:space="preserve">Pruebas de integración</t>
  </si>
  <si>
    <t xml:space="preserve">Pruebas de carga</t>
  </si>
  <si>
    <t xml:space="preserve">Pruebas de estrés</t>
  </si>
  <si>
    <t xml:space="preserve">TOTAL</t>
  </si>
  <si>
    <t xml:space="preserve">Dictamen automático</t>
  </si>
  <si>
    <t xml:space="preserve">PU</t>
  </si>
  <si>
    <t xml:space="preserve">PI</t>
  </si>
  <si>
    <t xml:space="preserve">PC</t>
  </si>
  <si>
    <t xml:space="preserve">Escalones</t>
  </si>
  <si>
    <t xml:space="preserve">Total</t>
  </si>
  <si>
    <t xml:space="preserve">% ejecutado</t>
  </si>
  <si>
    <t xml:space="preserve">Casos planificados en el libro</t>
  </si>
  <si>
    <t xml:space="preserve">CRITERIOS DE ACEPTACIÓN PARA LA ENTREGA · portfolio (codebymike.tech)</t>
  </si>
  <si>
    <t xml:space="preserve">Umbral acordado</t>
  </si>
  <si>
    <t xml:space="preserve">Pruebas unitarias aprobadas (Vitest)</t>
  </si>
  <si>
    <t xml:space="preserve">1379 de 1379</t>
  </si>
  <si>
    <t xml:space="preserve">1379 de 1379 (413 suites, 0 fallos, 2026-08-31)</t>
  </si>
  <si>
    <t xml:space="preserve">SI</t>
  </si>
  <si>
    <t xml:space="preserve">Cobertura de líneas de src/lib (v8, `npm run test:coverage`)</t>
  </si>
  <si>
    <t xml:space="preserve">≥ 80 %</t>
  </si>
  <si>
    <t xml:space="preserve">71.84 % (3777/5257 líneas)</t>
  </si>
  <si>
    <t xml:space="preserve">NO</t>
  </si>
  <si>
    <t xml:space="preserve">Cobertura de ramas de src/lib (v8)</t>
  </si>
  <si>
    <t xml:space="preserve">≥ 70 %</t>
  </si>
  <si>
    <t xml:space="preserve">65.67 % (2870/4370 ramas)</t>
  </si>
  <si>
    <t xml:space="preserve">Pruebas de integración (Playwright e2e) aprobadas</t>
  </si>
  <si>
    <t xml:space="preserve">48 de 48</t>
  </si>
  <si>
    <t xml:space="preserve">44 aprobadas, 1 fallida, 3 bloqueadas en cascada, de 48 (2026-08-31)</t>
  </si>
  <si>
    <t xml:space="preserve">Defecto BUG-01 corregido y verificado</t>
  </si>
  <si>
    <t xml:space="preserve">Sí</t>
  </si>
  <si>
    <t xml:space="preserve">Pendiente: capa viva del portal (digest) responde 401 en vez de 200 (ver PI-11)</t>
  </si>
  <si>
    <t xml:space="preserve">Percentil 95 de rutas públicas a la carga declarada (25 VUs)</t>
  </si>
  <si>
    <t xml:space="preserve">≤ 800 ms</t>
  </si>
  <si>
    <t xml:space="preserve">2591 ms (PC-01)</t>
  </si>
  <si>
    <t xml:space="preserve">Tasa de error bajo la carga declarada (25 VUs)</t>
  </si>
  <si>
    <t xml:space="preserve">&lt; 1 %</t>
  </si>
  <si>
    <t xml:space="preserve">0 % (PC-02)</t>
  </si>
  <si>
    <t xml:space="preserve">Throughput exitoso mínimo sostenido a la carga declarada</t>
  </si>
  <si>
    <t xml:space="preserve">≥ 60 req/s</t>
  </si>
  <si>
    <t xml:space="preserve">11.8 req/s (PC-10)</t>
  </si>
  <si>
    <t xml:space="preserve">Punto de saturación identificado y documentado</t>
  </si>
  <si>
    <t xml:space="preserve">Sí: entre 100 y 200 req/s ofrecidos (E2→E3)</t>
  </si>
  <si>
    <t xml:space="preserve">Punto de quiebre identificado y documentado</t>
  </si>
  <si>
    <t xml:space="preserve">Sí: 200 req/s ofrecidos, 76.3 % de error (E3, H-01)</t>
  </si>
  <si>
    <t xml:space="preserve">Recuperación tras el estrés</t>
  </si>
  <si>
    <t xml:space="preserve">&lt; 5 min</t>
  </si>
  <si>
    <t xml:space="preserve">~75-90 s hasta converger por completo (H-02)</t>
  </si>
  <si>
    <t xml:space="preserve">Evidencias adjuntas en la guía</t>
  </si>
  <si>
    <t xml:space="preserve">15 pantallazos</t>
  </si>
  <si>
    <t xml:space="preserve">Pendiente: corrida automatizada (JSON de vitest/playwright/k6), sin captura manual todavía</t>
  </si>
  <si>
    <t xml:space="preserve">Matriz firmada con versión, entorno y fecha</t>
  </si>
  <si>
    <t xml:space="preserve">Sí, en cada hoja (M1-M4) y en esta</t>
  </si>
  <si>
    <t xml:space="preserve">Criterios cumplidos</t>
  </si>
  <si>
    <t xml:space="preserve">Dictamen</t>
  </si>
  <si>
    <t xml:space="preserve">Responsable de las pruebas</t>
  </si>
  <si>
    <t xml:space="preserve">Mike (@mikerb95)</t>
  </si>
  <si>
    <t xml:space="preserve">Instructor</t>
  </si>
  <si>
    <t xml:space="preserve">Diana Delgado</t>
  </si>
  <si>
    <t xml:space="preserve">Fecha de la evaluación</t>
  </si>
</sst>
</file>

<file path=xl/styles.xml><?xml version="1.0" encoding="utf-8"?>
<styleSheet xmlns="http://schemas.openxmlformats.org/spreadsheetml/2006/main">
  <numFmts count="6">
    <numFmt numFmtId="164" formatCode="General"/>
    <numFmt numFmtId="165" formatCode="\+0.0%;\-0.0%;0.0%"/>
    <numFmt numFmtId="166" formatCode="General"/>
    <numFmt numFmtId="167" formatCode="#,##0"/>
    <numFmt numFmtId="168" formatCode="0.00"/>
    <numFmt numFmtId="169" formatCode="0.0%"/>
  </numFmts>
  <fonts count="27">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10"/>
      <color rgb="FF808080"/>
      <name val="Arial"/>
      <family val="0"/>
      <charset val="1"/>
    </font>
    <font>
      <b val="true"/>
      <sz val="11"/>
      <color rgb="FFFFFFFF"/>
      <name val="Arial"/>
      <family val="0"/>
      <charset val="1"/>
    </font>
    <font>
      <b val="true"/>
      <sz val="10"/>
      <name val="Arial"/>
      <family val="0"/>
      <charset val="1"/>
    </font>
    <font>
      <sz val="10"/>
      <name val="Arial"/>
      <family val="0"/>
      <charset val="1"/>
    </font>
    <font>
      <b val="true"/>
      <sz val="10"/>
      <color rgb="FF0000FF"/>
      <name val="Arial"/>
      <family val="0"/>
      <charset val="1"/>
    </font>
    <font>
      <b val="true"/>
      <sz val="10"/>
      <color rgb="FF808080"/>
      <name val="Arial"/>
      <family val="0"/>
      <charset val="1"/>
    </font>
    <font>
      <b val="true"/>
      <sz val="10"/>
      <color rgb="FF006100"/>
      <name val="Arial"/>
      <family val="0"/>
      <charset val="1"/>
    </font>
    <font>
      <b val="true"/>
      <sz val="10"/>
      <color rgb="FF9C0006"/>
      <name val="Arial"/>
      <family val="0"/>
      <charset val="1"/>
    </font>
    <font>
      <b val="true"/>
      <sz val="10"/>
      <color rgb="FF7F5F00"/>
      <name val="Arial"/>
      <family val="0"/>
      <charset val="1"/>
    </font>
    <font>
      <b val="true"/>
      <sz val="10"/>
      <color rgb="FF404040"/>
      <name val="Arial"/>
      <family val="0"/>
      <charset val="1"/>
    </font>
    <font>
      <b val="true"/>
      <sz val="14"/>
      <color rgb="FFFFFFFF"/>
      <name val="Arial"/>
      <family val="0"/>
      <charset val="1"/>
    </font>
    <font>
      <b val="true"/>
      <sz val="10"/>
      <color rgb="FF2E7D32"/>
      <name val="Arial"/>
      <family val="0"/>
      <charset val="1"/>
    </font>
    <font>
      <sz val="10"/>
      <color rgb="FF0000FF"/>
      <name val="Arial"/>
      <family val="0"/>
      <charset val="1"/>
    </font>
    <font>
      <b val="true"/>
      <sz val="9"/>
      <color rgb="FF7F5F00"/>
      <name val="Arial"/>
      <family val="0"/>
      <charset val="1"/>
    </font>
    <font>
      <b val="true"/>
      <sz val="10"/>
      <color rgb="FFFFFFFF"/>
      <name val="Arial"/>
      <family val="0"/>
      <charset val="1"/>
    </font>
    <font>
      <i val="true"/>
      <sz val="9"/>
      <color rgb="FF808080"/>
      <name val="Arial"/>
      <family val="0"/>
      <charset val="1"/>
    </font>
    <font>
      <b val="true"/>
      <sz val="11"/>
      <color rgb="FF2E7D32"/>
      <name val="Arial"/>
      <family val="0"/>
      <charset val="1"/>
    </font>
    <font>
      <b val="true"/>
      <sz val="11"/>
      <name val="Arial"/>
      <family val="0"/>
      <charset val="1"/>
    </font>
    <font>
      <b val="true"/>
      <sz val="9"/>
      <color rgb="FF808080"/>
      <name val="Arial"/>
      <family val="0"/>
      <charset val="1"/>
    </font>
    <font>
      <b val="true"/>
      <sz val="18"/>
      <color rgb="FF000000"/>
      <name val="Calibri"/>
      <family val="2"/>
    </font>
    <font>
      <sz val="10"/>
      <color rgb="FF000000"/>
      <name val="Calibri"/>
      <family val="2"/>
    </font>
    <font>
      <b val="true"/>
      <sz val="10"/>
      <color rgb="FF000000"/>
      <name val="Calibri"/>
      <family val="2"/>
    </font>
  </fonts>
  <fills count="11">
    <fill>
      <patternFill patternType="none"/>
    </fill>
    <fill>
      <patternFill patternType="gray125"/>
    </fill>
    <fill>
      <patternFill patternType="solid">
        <fgColor rgb="FF2E7D32"/>
        <bgColor rgb="FF008080"/>
      </patternFill>
    </fill>
    <fill>
      <patternFill patternType="solid">
        <fgColor rgb="FFFFF7E6"/>
        <bgColor rgb="FFF3F6F4"/>
      </patternFill>
    </fill>
    <fill>
      <patternFill patternType="solid">
        <fgColor rgb="FFC6EFCE"/>
        <bgColor rgb="FFD9D9D9"/>
      </patternFill>
    </fill>
    <fill>
      <patternFill patternType="solid">
        <fgColor rgb="FFFFC7CE"/>
        <bgColor rgb="FFD9D9D9"/>
      </patternFill>
    </fill>
    <fill>
      <patternFill patternType="solid">
        <fgColor rgb="FFFFEB9C"/>
        <bgColor rgb="FFFFF2CC"/>
      </patternFill>
    </fill>
    <fill>
      <patternFill patternType="solid">
        <fgColor rgb="FFD9D9D9"/>
        <bgColor rgb="FFC6EFCE"/>
      </patternFill>
    </fill>
    <fill>
      <patternFill patternType="solid">
        <fgColor rgb="FFFFF2CC"/>
        <bgColor rgb="FFFFF7E6"/>
      </patternFill>
    </fill>
    <fill>
      <patternFill patternType="solid">
        <fgColor rgb="FFEAF1FB"/>
        <bgColor rgb="FFF3F6F4"/>
      </patternFill>
    </fill>
    <fill>
      <patternFill patternType="solid">
        <fgColor rgb="FFF3F6F4"/>
        <bgColor rgb="FFEAF1FB"/>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4" fillId="2" borderId="0" xfId="0" applyFont="true" applyBorder="true" applyAlignment="true" applyProtection="true">
      <alignment horizontal="left" vertical="center" textRotation="0" wrapText="true" indent="0" shrinkToFit="false"/>
      <protection locked="true" hidden="false"/>
    </xf>
    <xf numFmtId="164" fontId="5" fillId="0" borderId="0" xfId="0" applyFont="true" applyBorder="true" applyAlignment="true" applyProtection="true">
      <alignment horizontal="general" vertical="center" textRotation="0" wrapText="false" indent="0" shrinkToFit="false"/>
      <protection locked="true" hidden="false"/>
    </xf>
    <xf numFmtId="164" fontId="6" fillId="2" borderId="0" xfId="0" applyFont="true" applyBorder="true" applyAlignment="true" applyProtection="true">
      <alignment horizontal="left" vertical="center" textRotation="0" wrapText="tru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left" vertical="center" textRotation="0" wrapText="true" indent="0" shrinkToFit="false"/>
      <protection locked="true" hidden="false"/>
    </xf>
    <xf numFmtId="164" fontId="7" fillId="0" borderId="0" xfId="0" applyFont="true" applyBorder="false" applyAlignment="true" applyProtection="true">
      <alignment horizontal="left" vertical="center" textRotation="0" wrapText="fals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xf numFmtId="164" fontId="10" fillId="3" borderId="0" xfId="0" applyFont="true" applyBorder="false" applyAlignment="true" applyProtection="true">
      <alignment horizontal="general" vertical="center" textRotation="0" wrapText="false" indent="0" shrinkToFit="false"/>
      <protection locked="true" hidden="false"/>
    </xf>
    <xf numFmtId="164" fontId="11" fillId="4" borderId="0" xfId="0" applyFont="true" applyBorder="false" applyAlignment="true" applyProtection="true">
      <alignment horizontal="general" vertical="center" textRotation="0" wrapText="false" indent="0" shrinkToFit="false"/>
      <protection locked="true" hidden="false"/>
    </xf>
    <xf numFmtId="164" fontId="12" fillId="5" borderId="0" xfId="0" applyFont="true" applyBorder="false" applyAlignment="true" applyProtection="true">
      <alignment horizontal="general" vertical="center" textRotation="0" wrapText="false" indent="0" shrinkToFit="false"/>
      <protection locked="true" hidden="false"/>
    </xf>
    <xf numFmtId="164" fontId="13" fillId="6" borderId="0" xfId="0" applyFont="true" applyBorder="false" applyAlignment="true" applyProtection="true">
      <alignment horizontal="general" vertical="center" textRotation="0" wrapText="false" indent="0" shrinkToFit="false"/>
      <protection locked="true" hidden="false"/>
    </xf>
    <xf numFmtId="164" fontId="14" fillId="7" borderId="0" xfId="0" applyFont="true" applyBorder="false" applyAlignment="true" applyProtection="true">
      <alignment horizontal="general" vertical="center" textRotation="0" wrapText="false" indent="0" shrinkToFit="false"/>
      <protection locked="true" hidden="false"/>
    </xf>
    <xf numFmtId="164" fontId="13" fillId="8" borderId="1" xfId="0" applyFont="true" applyBorder="tru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5" fillId="2" borderId="0" xfId="0" applyFont="true" applyBorder="true" applyAlignment="true" applyProtection="true">
      <alignment horizontal="left" vertical="center" textRotation="0" wrapText="tru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7" fillId="9" borderId="1" xfId="0" applyFont="true" applyBorder="true" applyAlignment="true" applyProtection="true">
      <alignment horizontal="center" vertical="center" textRotation="0" wrapText="false" indent="0" shrinkToFit="false"/>
      <protection locked="true" hidden="false"/>
    </xf>
    <xf numFmtId="164" fontId="18" fillId="8" borderId="1" xfId="0" applyFont="true" applyBorder="true" applyAlignment="true" applyProtection="true">
      <alignment horizontal="left" vertical="center" textRotation="0" wrapText="true" indent="0" shrinkToFit="false"/>
      <protection locked="true" hidden="false"/>
    </xf>
    <xf numFmtId="164" fontId="19" fillId="2" borderId="1" xfId="0" applyFont="true" applyBorder="true" applyAlignment="true" applyProtection="true">
      <alignment horizontal="center" vertical="center" textRotation="0" wrapText="true" indent="0" shrinkToFit="false"/>
      <protection locked="true" hidden="false"/>
    </xf>
    <xf numFmtId="164" fontId="8" fillId="10" borderId="1" xfId="0" applyFont="true" applyBorder="true" applyAlignment="true" applyProtection="true">
      <alignment horizontal="center" vertical="center" textRotation="0" wrapText="true" indent="0" shrinkToFit="false"/>
      <protection locked="true" hidden="false"/>
    </xf>
    <xf numFmtId="164" fontId="17" fillId="10" borderId="1" xfId="0" applyFont="true" applyBorder="true" applyAlignment="true" applyProtection="true">
      <alignment horizontal="center" vertical="center" textRotation="0" wrapText="tru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4" fontId="17" fillId="0" borderId="1" xfId="0" applyFont="true" applyBorder="true" applyAlignment="true" applyProtection="true">
      <alignment horizontal="center" vertical="center" textRotation="0" wrapText="true" indent="0" shrinkToFit="false"/>
      <protection locked="true" hidden="false"/>
    </xf>
    <xf numFmtId="164" fontId="8" fillId="10" borderId="1" xfId="0" applyFont="true" applyBorder="true" applyAlignment="true" applyProtection="true">
      <alignment horizontal="general" vertical="center" textRotation="0" wrapText="true" indent="0" shrinkToFit="false"/>
      <protection locked="true" hidden="false"/>
    </xf>
    <xf numFmtId="164" fontId="17" fillId="10" borderId="1" xfId="0" applyFont="true" applyBorder="true" applyAlignment="true" applyProtection="true">
      <alignment horizontal="general" vertical="center" textRotation="0" wrapText="true" indent="0" shrinkToFit="false"/>
      <protection locked="true" hidden="false"/>
    </xf>
    <xf numFmtId="164" fontId="8" fillId="0" borderId="1" xfId="0" applyFont="true" applyBorder="true" applyAlignment="true" applyProtection="true">
      <alignment horizontal="general" vertical="center" textRotation="0" wrapText="true" indent="0" shrinkToFit="false"/>
      <protection locked="true" hidden="false"/>
    </xf>
    <xf numFmtId="164" fontId="17" fillId="0" borderId="1" xfId="0" applyFont="true" applyBorder="true" applyAlignment="true" applyProtection="true">
      <alignment horizontal="general" vertical="center" textRotation="0" wrapText="true" indent="0" shrinkToFit="false"/>
      <protection locked="true" hidden="false"/>
    </xf>
    <xf numFmtId="164" fontId="16" fillId="0" borderId="0" xfId="0" applyFont="true" applyBorder="false" applyAlignment="true" applyProtection="true">
      <alignment horizontal="right" vertical="bottom" textRotation="0" wrapText="false" indent="0" shrinkToFit="false"/>
      <protection locked="true" hidden="false"/>
    </xf>
    <xf numFmtId="164" fontId="20" fillId="3" borderId="1" xfId="0" applyFont="true" applyBorder="true" applyAlignment="true" applyProtection="true">
      <alignment horizontal="center" vertical="center" textRotation="0" wrapText="true" indent="0" shrinkToFit="false"/>
      <protection locked="true" hidden="false"/>
    </xf>
    <xf numFmtId="164" fontId="20" fillId="3" borderId="1" xfId="0" applyFont="true" applyBorder="true" applyAlignment="true" applyProtection="true">
      <alignment horizontal="general" vertical="center" textRotation="0" wrapText="true" indent="0" shrinkToFit="false"/>
      <protection locked="true" hidden="false"/>
    </xf>
    <xf numFmtId="164" fontId="17" fillId="9" borderId="1" xfId="0" applyFont="true" applyBorder="true" applyAlignment="true" applyProtection="true">
      <alignment horizontal="general" vertical="bottom" textRotation="0" wrapText="false" indent="0" shrinkToFit="false"/>
      <protection locked="true" hidden="false"/>
    </xf>
    <xf numFmtId="165" fontId="8" fillId="10" borderId="1" xfId="0" applyFont="true" applyBorder="true" applyAlignment="true" applyProtection="true">
      <alignment horizontal="center" vertical="center" textRotation="0" wrapText="true" indent="0" shrinkToFit="false"/>
      <protection locked="true" hidden="false"/>
    </xf>
    <xf numFmtId="166" fontId="8" fillId="10" borderId="1" xfId="0" applyFont="true" applyBorder="true" applyAlignment="true" applyProtection="true">
      <alignment horizontal="center" vertical="center" textRotation="0" wrapText="true" indent="0" shrinkToFit="false"/>
      <protection locked="true" hidden="false"/>
    </xf>
    <xf numFmtId="165" fontId="8" fillId="0" borderId="1" xfId="0" applyFont="true" applyBorder="true" applyAlignment="true" applyProtection="true">
      <alignment horizontal="center" vertical="center" textRotation="0" wrapText="true" indent="0" shrinkToFit="false"/>
      <protection locked="true" hidden="false"/>
    </xf>
    <xf numFmtId="166" fontId="8" fillId="0" borderId="1" xfId="0" applyFont="true" applyBorder="true" applyAlignment="true" applyProtection="true">
      <alignment horizontal="center" vertical="center" textRotation="0" wrapText="true" indent="0" shrinkToFit="false"/>
      <protection locked="true" hidden="false"/>
    </xf>
    <xf numFmtId="167" fontId="17" fillId="10" borderId="1" xfId="0" applyFont="true" applyBorder="true" applyAlignment="true" applyProtection="true">
      <alignment horizontal="center" vertical="center" textRotation="0" wrapText="true" indent="0" shrinkToFit="false"/>
      <protection locked="true" hidden="false"/>
    </xf>
    <xf numFmtId="168" fontId="17" fillId="10" borderId="1" xfId="0" applyFont="true" applyBorder="true" applyAlignment="true" applyProtection="true">
      <alignment horizontal="center" vertical="center" textRotation="0" wrapText="true" indent="0" shrinkToFit="false"/>
      <protection locked="true" hidden="false"/>
    </xf>
    <xf numFmtId="167" fontId="17" fillId="0" borderId="1" xfId="0" applyFont="true" applyBorder="true" applyAlignment="true" applyProtection="true">
      <alignment horizontal="center" vertical="center" textRotation="0" wrapText="true" indent="0" shrinkToFit="false"/>
      <protection locked="true" hidden="false"/>
    </xf>
    <xf numFmtId="168" fontId="17" fillId="0" borderId="1" xfId="0" applyFont="true" applyBorder="true" applyAlignment="true" applyProtection="true">
      <alignment horizontal="center" vertical="center" textRotation="0" wrapText="true" indent="0" shrinkToFit="false"/>
      <protection locked="true" hidden="false"/>
    </xf>
    <xf numFmtId="167" fontId="17" fillId="0" borderId="1" xfId="0" applyFont="true" applyBorder="true" applyAlignment="true" applyProtection="true">
      <alignment horizontal="general" vertical="center" textRotation="0" wrapText="true" indent="0" shrinkToFit="false"/>
      <protection locked="true" hidden="false"/>
    </xf>
    <xf numFmtId="168" fontId="17" fillId="0" borderId="1" xfId="0" applyFont="true" applyBorder="true" applyAlignment="true" applyProtection="true">
      <alignment horizontal="general" vertical="center" textRotation="0" wrapText="tru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left" vertical="center" textRotation="0" wrapText="true" indent="0" shrinkToFit="false"/>
      <protection locked="true" hidden="false"/>
    </xf>
    <xf numFmtId="169" fontId="8" fillId="0" borderId="1" xfId="0" applyFont="true" applyBorder="true" applyAlignment="true" applyProtection="true">
      <alignment horizontal="center" vertical="center" textRotation="0" wrapText="true" indent="0" shrinkToFit="false"/>
      <protection locked="true" hidden="false"/>
    </xf>
    <xf numFmtId="164" fontId="19" fillId="2" borderId="1" xfId="0" applyFont="true" applyBorder="true" applyAlignment="true" applyProtection="true">
      <alignment horizontal="left" vertical="center" textRotation="0" wrapText="true" indent="0" shrinkToFit="false"/>
      <protection locked="true" hidden="false"/>
    </xf>
    <xf numFmtId="169" fontId="19" fillId="2" borderId="1" xfId="0" applyFont="true" applyBorder="true" applyAlignment="true" applyProtection="true">
      <alignment horizontal="center" vertical="center" textRotation="0" wrapText="true" indent="0" shrinkToFit="false"/>
      <protection locked="true" hidden="false"/>
    </xf>
    <xf numFmtId="166" fontId="22" fillId="8" borderId="1" xfId="0" applyFont="true" applyBorder="true" applyAlignment="true" applyProtection="true">
      <alignment horizontal="left" vertical="center" textRotation="0" wrapText="true" indent="0" shrinkToFit="false"/>
      <protection locked="true" hidden="false"/>
    </xf>
    <xf numFmtId="164" fontId="23" fillId="0" borderId="0" xfId="0" applyFont="true" applyBorder="fals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9" fontId="0" fillId="0" borderId="1" xfId="0" applyFont="false" applyBorder="true" applyAlignment="true" applyProtection="true">
      <alignment horizontal="center" vertical="center" textRotation="0" wrapText="true" indent="0" shrinkToFit="false"/>
      <protection locked="true" hidden="false"/>
    </xf>
    <xf numFmtId="164" fontId="8" fillId="0" borderId="1" xfId="0" applyFont="true" applyBorder="true" applyAlignment="true" applyProtection="true">
      <alignment horizontal="left" vertical="center" textRotation="0" wrapText="true" indent="0" shrinkToFit="false"/>
      <protection locked="true" hidden="false"/>
    </xf>
    <xf numFmtId="164" fontId="17" fillId="9" borderId="1" xfId="0" applyFont="true" applyBorder="true" applyAlignment="true" applyProtection="true">
      <alignment horizontal="center" vertical="center" textRotation="0" wrapText="true" indent="0" shrinkToFit="false"/>
      <protection locked="true" hidden="false"/>
    </xf>
    <xf numFmtId="164" fontId="17" fillId="0" borderId="1" xfId="0" applyFont="true" applyBorder="true" applyAlignment="true" applyProtection="true">
      <alignment horizontal="left" vertical="center" textRotation="0" wrapText="true" indent="0" shrinkToFit="false"/>
      <protection locked="true" hidden="false"/>
    </xf>
    <xf numFmtId="166" fontId="7" fillId="0" borderId="1" xfId="0" applyFont="true" applyBorder="tru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b val="1"/>
        <color rgb="FF006100"/>
        <sz val="10"/>
      </font>
      <fill>
        <patternFill>
          <bgColor rgb="FFC6EFCE"/>
        </patternFill>
      </fill>
    </dxf>
    <dxf>
      <font>
        <name val="Arial"/>
        <charset val="1"/>
        <family val="0"/>
        <b val="1"/>
        <color rgb="FF9C0006"/>
        <sz val="10"/>
      </font>
      <fill>
        <patternFill>
          <bgColor rgb="FFFFC7CE"/>
        </patternFill>
      </fill>
    </dxf>
    <dxf>
      <font>
        <name val="Arial"/>
        <charset val="1"/>
        <family val="0"/>
        <b val="1"/>
        <color rgb="FF7F5F00"/>
        <sz val="10"/>
      </font>
      <fill>
        <patternFill>
          <bgColor rgb="FFFFEB9C"/>
        </patternFill>
      </fill>
    </dxf>
    <dxf>
      <font>
        <name val="Arial"/>
        <charset val="1"/>
        <family val="0"/>
        <b val="1"/>
        <color rgb="FF404040"/>
        <sz val="10"/>
      </font>
      <fill>
        <patternFill>
          <bgColor rgb="FFD9D9D9"/>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7F5F00"/>
      <rgbColor rgb="FF800080"/>
      <rgbColor rgb="FF008080"/>
      <rgbColor rgb="FFBFBFBF"/>
      <rgbColor rgb="FF808080"/>
      <rgbColor rgb="FF9999FF"/>
      <rgbColor rgb="FFC0504D"/>
      <rgbColor rgb="FFFFF2CC"/>
      <rgbColor rgb="FFEAF1FB"/>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3F6F4"/>
      <rgbColor rgb="FFC6EFCE"/>
      <rgbColor rgb="FFFFEB9C"/>
      <rgbColor rgb="FFFFF7E6"/>
      <rgbColor rgb="FFFF99CC"/>
      <rgbColor rgb="FFCC99FF"/>
      <rgbColor rgb="FFFFC7CE"/>
      <rgbColor rgb="FF4F81BD"/>
      <rgbColor rgb="FF33CCCC"/>
      <rgbColor rgb="FF9BBB59"/>
      <rgbColor rgb="FFFFCC00"/>
      <rgbColor rgb="FFFF9900"/>
      <rgbColor rgb="FFFF6600"/>
      <rgbColor rgb="FF8064A2"/>
      <rgbColor rgb="FF878787"/>
      <rgbColor rgb="FF003366"/>
      <rgbColor rgb="FF2E7D32"/>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s-CO" sz="1800" spc="-1" strike="noStrike">
                <a:solidFill>
                  <a:srgbClr val="000000"/>
                </a:solidFill>
                <a:latin typeface="Calibri"/>
              </a:defRPr>
            </a:pPr>
            <a:r>
              <a:rPr b="1" lang="es-CO" sz="1800" spc="-1" strike="noStrike">
                <a:solidFill>
                  <a:srgbClr val="000000"/>
                </a:solidFill>
                <a:latin typeface="Calibri"/>
              </a:rPr>
              <a:t>Resultados por tipo de prueba</a:t>
            </a:r>
          </a:p>
        </c:rich>
      </c:tx>
      <c:overlay val="0"/>
      <c:spPr>
        <a:noFill/>
        <a:ln w="0">
          <a:noFill/>
        </a:ln>
      </c:spPr>
    </c:title>
    <c:autoTitleDeleted val="0"/>
    <c:plotArea>
      <c:barChart>
        <c:barDir val="col"/>
        <c:grouping val="clustered"/>
        <c:varyColors val="0"/>
        <c:ser>
          <c:idx val="0"/>
          <c:order val="0"/>
          <c:tx>
            <c:strRef>
              <c:f>Resumen!$C$6</c:f>
              <c:strCache>
                <c:ptCount val="1"/>
                <c:pt idx="0">
                  <c:v>Aprobadas</c:v>
                </c:pt>
              </c:strCache>
            </c:strRef>
          </c:tx>
          <c:spPr>
            <a:solidFill>
              <a:srgbClr val="4f81bd"/>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Resumen!$B$7:$B$10</c:f>
              <c:strCache>
                <c:ptCount val="4"/>
                <c:pt idx="0">
                  <c:v>Pruebas unitarias</c:v>
                </c:pt>
                <c:pt idx="1">
                  <c:v>Pruebas de integración</c:v>
                </c:pt>
                <c:pt idx="2">
                  <c:v>Pruebas de carga</c:v>
                </c:pt>
                <c:pt idx="3">
                  <c:v>Pruebas de estrés</c:v>
                </c:pt>
              </c:strCache>
            </c:strRef>
          </c:cat>
          <c:val>
            <c:numRef>
              <c:f>Resumen!$C$7:$C$10</c:f>
              <c:numCache>
                <c:formatCode>General</c:formatCode>
                <c:ptCount val="4"/>
                <c:pt idx="0">
                  <c:v>10</c:v>
                </c:pt>
                <c:pt idx="1">
                  <c:v>11</c:v>
                </c:pt>
                <c:pt idx="2">
                  <c:v>1</c:v>
                </c:pt>
                <c:pt idx="3">
                  <c:v>1</c:v>
                </c:pt>
              </c:numCache>
            </c:numRef>
          </c:val>
        </c:ser>
        <c:ser>
          <c:idx val="1"/>
          <c:order val="1"/>
          <c:tx>
            <c:strRef>
              <c:f>Resumen!$D$6</c:f>
              <c:strCache>
                <c:ptCount val="1"/>
                <c:pt idx="0">
                  <c:v>Observación</c:v>
                </c:pt>
              </c:strCache>
            </c:strRef>
          </c:tx>
          <c:spPr>
            <a:solidFill>
              <a:srgbClr val="c0504d"/>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Resumen!$B$7:$B$10</c:f>
              <c:strCache>
                <c:ptCount val="4"/>
                <c:pt idx="0">
                  <c:v>Pruebas unitarias</c:v>
                </c:pt>
                <c:pt idx="1">
                  <c:v>Pruebas de integración</c:v>
                </c:pt>
                <c:pt idx="2">
                  <c:v>Pruebas de carga</c:v>
                </c:pt>
                <c:pt idx="3">
                  <c:v>Pruebas de estrés</c:v>
                </c:pt>
              </c:strCache>
            </c:strRef>
          </c:cat>
          <c:val>
            <c:numRef>
              <c:f>Resumen!$D$7:$D$10</c:f>
              <c:numCache>
                <c:formatCode>General</c:formatCode>
                <c:ptCount val="4"/>
                <c:pt idx="0">
                  <c:v>0</c:v>
                </c:pt>
                <c:pt idx="1">
                  <c:v>0</c:v>
                </c:pt>
                <c:pt idx="2">
                  <c:v>7</c:v>
                </c:pt>
                <c:pt idx="3">
                  <c:v>2</c:v>
                </c:pt>
              </c:numCache>
            </c:numRef>
          </c:val>
        </c:ser>
        <c:ser>
          <c:idx val="2"/>
          <c:order val="2"/>
          <c:tx>
            <c:strRef>
              <c:f>Resumen!$E$6</c:f>
              <c:strCache>
                <c:ptCount val="1"/>
                <c:pt idx="0">
                  <c:v>Fallidas</c:v>
                </c:pt>
              </c:strCache>
            </c:strRef>
          </c:tx>
          <c:spPr>
            <a:solidFill>
              <a:srgbClr val="9bbb59"/>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Resumen!$B$7:$B$10</c:f>
              <c:strCache>
                <c:ptCount val="4"/>
                <c:pt idx="0">
                  <c:v>Pruebas unitarias</c:v>
                </c:pt>
                <c:pt idx="1">
                  <c:v>Pruebas de integración</c:v>
                </c:pt>
                <c:pt idx="2">
                  <c:v>Pruebas de carga</c:v>
                </c:pt>
                <c:pt idx="3">
                  <c:v>Pruebas de estrés</c:v>
                </c:pt>
              </c:strCache>
            </c:strRef>
          </c:cat>
          <c:val>
            <c:numRef>
              <c:f>Resumen!$E$7:$E$10</c:f>
              <c:numCache>
                <c:formatCode>General</c:formatCode>
                <c:ptCount val="4"/>
                <c:pt idx="0">
                  <c:v>0</c:v>
                </c:pt>
                <c:pt idx="1">
                  <c:v>1</c:v>
                </c:pt>
                <c:pt idx="2">
                  <c:v>2</c:v>
                </c:pt>
                <c:pt idx="3">
                  <c:v>3</c:v>
                </c:pt>
              </c:numCache>
            </c:numRef>
          </c:val>
        </c:ser>
        <c:ser>
          <c:idx val="3"/>
          <c:order val="3"/>
          <c:tx>
            <c:strRef>
              <c:f>Resumen!$F$6</c:f>
              <c:strCache>
                <c:ptCount val="1"/>
                <c:pt idx="0">
                  <c:v>Bloqueadas</c:v>
                </c:pt>
              </c:strCache>
            </c:strRef>
          </c:tx>
          <c:spPr>
            <a:solidFill>
              <a:srgbClr val="8064a2"/>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Resumen!$B$7:$B$10</c:f>
              <c:strCache>
                <c:ptCount val="4"/>
                <c:pt idx="0">
                  <c:v>Pruebas unitarias</c:v>
                </c:pt>
                <c:pt idx="1">
                  <c:v>Pruebas de integración</c:v>
                </c:pt>
                <c:pt idx="2">
                  <c:v>Pruebas de carga</c:v>
                </c:pt>
                <c:pt idx="3">
                  <c:v>Pruebas de estrés</c:v>
                </c:pt>
              </c:strCache>
            </c:strRef>
          </c:cat>
          <c:val>
            <c:numRef>
              <c:f>Resumen!$F$7:$F$10</c:f>
              <c:numCache>
                <c:formatCode>General</c:formatCode>
                <c:ptCount val="4"/>
                <c:pt idx="0">
                  <c:v>0</c:v>
                </c:pt>
                <c:pt idx="1">
                  <c:v>0</c:v>
                </c:pt>
                <c:pt idx="2">
                  <c:v>0</c:v>
                </c:pt>
                <c:pt idx="3">
                  <c:v>1</c:v>
                </c:pt>
              </c:numCache>
            </c:numRef>
          </c:val>
        </c:ser>
        <c:gapWidth val="150"/>
        <c:overlap val="0"/>
        <c:axId val="91741170"/>
        <c:axId val="17731347"/>
      </c:barChart>
      <c:catAx>
        <c:axId val="91741170"/>
        <c:scaling>
          <c:orientation val="minMax"/>
        </c:scaling>
        <c:delete val="1"/>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731347"/>
        <c:auto val="1"/>
        <c:lblAlgn val="ctr"/>
        <c:lblOffset val="100"/>
        <c:noMultiLvlLbl val="0"/>
      </c:catAx>
      <c:valAx>
        <c:axId val="17731347"/>
        <c:scaling>
          <c:orientation val="minMax"/>
        </c:scaling>
        <c:delete val="1"/>
        <c:axPos val="l"/>
        <c:majorGridlines>
          <c:spPr>
            <a:ln w="9360">
              <a:solidFill>
                <a:srgbClr val="878787"/>
              </a:solidFill>
              <a:round/>
            </a:ln>
          </c:spPr>
        </c:majorGridlines>
        <c:title>
          <c:tx>
            <c:rich>
              <a:bodyPr rot="-5400000"/>
              <a:lstStyle/>
              <a:p>
                <a:pPr>
                  <a:defRPr b="1" lang="es-CO" sz="1000" spc="-1" strike="noStrike">
                    <a:solidFill>
                      <a:srgbClr val="000000"/>
                    </a:solidFill>
                    <a:latin typeface="Calibri"/>
                  </a:defRPr>
                </a:pPr>
                <a:r>
                  <a:rPr b="1" lang="es-CO" sz="1000" spc="-1" strike="noStrike">
                    <a:solidFill>
                      <a:srgbClr val="000000"/>
                    </a:solidFill>
                    <a:latin typeface="Calibri"/>
                  </a:rPr>
                  <a:t>Casos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741170"/>
        <c:crossBetween val="between"/>
      </c:valAx>
      <c:spPr>
        <a:noFill/>
        <a:ln w="0">
          <a:noFill/>
        </a:ln>
      </c:spPr>
    </c:plotArea>
    <c:legend>
      <c:legendPos val="r"/>
      <c:overlay val="1"/>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16</xdr:row>
      <xdr:rowOff>153720</xdr:rowOff>
    </xdr:from>
    <xdr:to>
      <xdr:col>5</xdr:col>
      <xdr:colOff>238320</xdr:colOff>
      <xdr:row>32</xdr:row>
      <xdr:rowOff>136800</xdr:rowOff>
    </xdr:to>
    <xdr:graphicFrame>
      <xdr:nvGraphicFramePr>
        <xdr:cNvPr id="0" name="Chart 1"/>
        <xdr:cNvGraphicFramePr/>
      </xdr:nvGraphicFramePr>
      <xdr:xfrm>
        <a:off x="240120" y="3809880"/>
        <a:ext cx="5758920" cy="287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8"/>
  <sheetViews>
    <sheetView showFormulas="false" showGridLines="false" showRowColHeaders="true" showZeros="true" rightToLeft="false" tabSelected="false" showOutlineSymbols="true" defaultGridColor="true" view="normal" topLeftCell="A1" colorId="64" zoomScale="120" zoomScaleNormal="120" zoomScalePageLayoutView="100" workbookViewId="0">
      <selection pane="topLeft" activeCell="B4" activeCellId="0" sqref="B4"/>
    </sheetView>
  </sheetViews>
  <sheetFormatPr defaultColWidth="9.18359375" defaultRowHeight="16.75" zeroHeight="false" outlineLevelRow="0" outlineLevelCol="0"/>
  <cols>
    <col collapsed="false" customWidth="true" hidden="false" outlineLevel="0" max="1" min="1" style="1" width="3"/>
    <col collapsed="false" customWidth="true" hidden="false" outlineLevel="0" max="2" min="2" style="1" width="32"/>
    <col collapsed="false" customWidth="true" hidden="false" outlineLevel="0" max="3" min="3" style="1" width="120.72"/>
    <col collapsed="false" customWidth="false" hidden="false" outlineLevel="0" max="16384" min="4" style="1" width="9.18"/>
  </cols>
  <sheetData>
    <row r="2" customFormat="false" ht="16.75" hidden="false" customHeight="true" outlineLevel="0" collapsed="false">
      <c r="B2" s="2" t="s">
        <v>0</v>
      </c>
      <c r="C2" s="2"/>
    </row>
    <row r="4" customFormat="false" ht="16.75" hidden="false" customHeight="true" outlineLevel="0" collapsed="false">
      <c r="B4" s="3" t="s">
        <v>1</v>
      </c>
      <c r="C4" s="3"/>
    </row>
    <row r="6" customFormat="false" ht="16.75" hidden="false" customHeight="true" outlineLevel="0" collapsed="false">
      <c r="B6" s="4" t="s">
        <v>2</v>
      </c>
      <c r="C6" s="4"/>
    </row>
    <row r="7" customFormat="false" ht="16.75" hidden="false" customHeight="true" outlineLevel="0" collapsed="false">
      <c r="B7" s="5" t="s">
        <v>3</v>
      </c>
      <c r="C7" s="6" t="s">
        <v>4</v>
      </c>
    </row>
    <row r="8" customFormat="false" ht="37.3" hidden="false" customHeight="true" outlineLevel="0" collapsed="false">
      <c r="B8" s="7" t="s">
        <v>5</v>
      </c>
      <c r="C8" s="6" t="s">
        <v>6</v>
      </c>
    </row>
    <row r="9" customFormat="false" ht="16.75" hidden="false" customHeight="true" outlineLevel="0" collapsed="false">
      <c r="B9" s="5" t="s">
        <v>7</v>
      </c>
      <c r="C9" s="6" t="s">
        <v>8</v>
      </c>
    </row>
    <row r="10" customFormat="false" ht="16.75" hidden="false" customHeight="true" outlineLevel="0" collapsed="false">
      <c r="B10" s="5" t="s">
        <v>9</v>
      </c>
      <c r="C10" s="6" t="s">
        <v>10</v>
      </c>
    </row>
    <row r="11" customFormat="false" ht="16.75" hidden="false" customHeight="true" outlineLevel="0" collapsed="false">
      <c r="B11" s="5" t="s">
        <v>11</v>
      </c>
      <c r="C11" s="6" t="s">
        <v>12</v>
      </c>
    </row>
    <row r="12" customFormat="false" ht="16.75" hidden="false" customHeight="true" outlineLevel="0" collapsed="false">
      <c r="B12" s="5" t="s">
        <v>13</v>
      </c>
      <c r="C12" s="6" t="s">
        <v>14</v>
      </c>
    </row>
    <row r="14" customFormat="false" ht="16.75" hidden="false" customHeight="true" outlineLevel="0" collapsed="false">
      <c r="B14" s="4" t="s">
        <v>15</v>
      </c>
      <c r="C14" s="4"/>
    </row>
    <row r="15" customFormat="false" ht="16.75" hidden="false" customHeight="true" outlineLevel="0" collapsed="false">
      <c r="B15" s="5" t="s">
        <v>16</v>
      </c>
      <c r="C15" s="6" t="s">
        <v>17</v>
      </c>
    </row>
    <row r="16" customFormat="false" ht="16.75" hidden="false" customHeight="true" outlineLevel="0" collapsed="false">
      <c r="B16" s="5" t="s">
        <v>18</v>
      </c>
      <c r="C16" s="6" t="s">
        <v>19</v>
      </c>
    </row>
    <row r="17" customFormat="false" ht="16.75" hidden="false" customHeight="true" outlineLevel="0" collapsed="false">
      <c r="B17" s="5" t="s">
        <v>20</v>
      </c>
      <c r="C17" s="6" t="s">
        <v>21</v>
      </c>
    </row>
    <row r="18" customFormat="false" ht="16.75" hidden="false" customHeight="true" outlineLevel="0" collapsed="false">
      <c r="B18" s="5" t="s">
        <v>22</v>
      </c>
      <c r="C18" s="6" t="s">
        <v>23</v>
      </c>
    </row>
    <row r="19" customFormat="false" ht="16.75" hidden="false" customHeight="true" outlineLevel="0" collapsed="false">
      <c r="B19" s="5" t="s">
        <v>24</v>
      </c>
      <c r="C19" s="6" t="s">
        <v>25</v>
      </c>
    </row>
    <row r="20" customFormat="false" ht="16.75" hidden="false" customHeight="true" outlineLevel="0" collapsed="false">
      <c r="B20" s="5" t="s">
        <v>26</v>
      </c>
      <c r="C20" s="6" t="s">
        <v>27</v>
      </c>
    </row>
    <row r="22" customFormat="false" ht="16.75" hidden="false" customHeight="true" outlineLevel="0" collapsed="false">
      <c r="B22" s="4" t="s">
        <v>28</v>
      </c>
      <c r="C22" s="4"/>
    </row>
    <row r="23" customFormat="false" ht="16.75" hidden="false" customHeight="true" outlineLevel="0" collapsed="false">
      <c r="B23" s="8" t="s">
        <v>29</v>
      </c>
      <c r="C23" s="6" t="s">
        <v>30</v>
      </c>
    </row>
    <row r="24" customFormat="false" ht="16.75" hidden="false" customHeight="true" outlineLevel="0" collapsed="false">
      <c r="B24" s="5" t="s">
        <v>31</v>
      </c>
      <c r="C24" s="6" t="s">
        <v>32</v>
      </c>
    </row>
    <row r="25" customFormat="false" ht="16.75" hidden="false" customHeight="true" outlineLevel="0" collapsed="false">
      <c r="B25" s="9" t="s">
        <v>33</v>
      </c>
      <c r="C25" s="6" t="s">
        <v>34</v>
      </c>
    </row>
    <row r="26" customFormat="false" ht="16.75" hidden="false" customHeight="true" outlineLevel="0" collapsed="false">
      <c r="B26" s="10" t="s">
        <v>35</v>
      </c>
      <c r="C26" s="6" t="s">
        <v>36</v>
      </c>
    </row>
    <row r="27" customFormat="false" ht="16.75" hidden="false" customHeight="true" outlineLevel="0" collapsed="false">
      <c r="B27" s="11" t="s">
        <v>37</v>
      </c>
      <c r="C27" s="6" t="s">
        <v>38</v>
      </c>
    </row>
    <row r="28" customFormat="false" ht="16.75" hidden="false" customHeight="true" outlineLevel="0" collapsed="false">
      <c r="B28" s="12" t="s">
        <v>39</v>
      </c>
      <c r="C28" s="6" t="s">
        <v>40</v>
      </c>
    </row>
    <row r="29" customFormat="false" ht="16.75" hidden="false" customHeight="true" outlineLevel="0" collapsed="false">
      <c r="B29" s="13" t="s">
        <v>41</v>
      </c>
      <c r="C29" s="6" t="s">
        <v>42</v>
      </c>
    </row>
    <row r="31" customFormat="false" ht="16.75" hidden="false" customHeight="true" outlineLevel="0" collapsed="false">
      <c r="B31" s="4" t="s">
        <v>43</v>
      </c>
      <c r="C31" s="4"/>
    </row>
    <row r="32" customFormat="false" ht="16.75" hidden="false" customHeight="true" outlineLevel="0" collapsed="false">
      <c r="B32" s="5" t="s">
        <v>44</v>
      </c>
      <c r="C32" s="6" t="s">
        <v>45</v>
      </c>
    </row>
    <row r="33" customFormat="false" ht="16.75" hidden="false" customHeight="true" outlineLevel="0" collapsed="false">
      <c r="B33" s="5" t="s">
        <v>46</v>
      </c>
      <c r="C33" s="6" t="s">
        <v>47</v>
      </c>
    </row>
    <row r="34" customFormat="false" ht="16.75" hidden="false" customHeight="true" outlineLevel="0" collapsed="false">
      <c r="B34" s="5" t="s">
        <v>48</v>
      </c>
      <c r="C34" s="6" t="s">
        <v>49</v>
      </c>
    </row>
    <row r="35" customFormat="false" ht="16.75" hidden="false" customHeight="true" outlineLevel="0" collapsed="false">
      <c r="B35" s="5" t="s">
        <v>50</v>
      </c>
      <c r="C35" s="6" t="s">
        <v>51</v>
      </c>
    </row>
    <row r="36" customFormat="false" ht="16.75" hidden="false" customHeight="true" outlineLevel="0" collapsed="false">
      <c r="B36" s="5" t="s">
        <v>52</v>
      </c>
      <c r="C36" s="6" t="s">
        <v>53</v>
      </c>
    </row>
    <row r="38" customFormat="false" ht="16.75" hidden="false" customHeight="true" outlineLevel="0" collapsed="false">
      <c r="B38" s="14" t="s">
        <v>54</v>
      </c>
      <c r="C38" s="14"/>
    </row>
  </sheetData>
  <mergeCells count="7">
    <mergeCell ref="B2:C2"/>
    <mergeCell ref="B4:C4"/>
    <mergeCell ref="B6:C6"/>
    <mergeCell ref="B14:C14"/>
    <mergeCell ref="B22:C22"/>
    <mergeCell ref="B31:C31"/>
    <mergeCell ref="B38:C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48576"/>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pane xSplit="0" ySplit="7" topLeftCell="A8" activePane="bottomLeft" state="frozen"/>
      <selection pane="topLeft" activeCell="A1" activeCellId="0" sqref="A1"/>
      <selection pane="bottomLeft" activeCell="D12" activeCellId="0" sqref="D12"/>
    </sheetView>
  </sheetViews>
  <sheetFormatPr defaultColWidth="9.18359375" defaultRowHeight="14.25" zeroHeight="false" outlineLevelRow="0" outlineLevelCol="0"/>
  <cols>
    <col collapsed="false" customWidth="true" hidden="false" outlineLevel="0" max="1" min="1" style="15" width="12.45"/>
    <col collapsed="false" customWidth="true" hidden="false" outlineLevel="0" max="2" min="2" style="15" width="11"/>
    <col collapsed="false" customWidth="true" hidden="false" outlineLevel="0" max="6" min="3" style="15" width="24.72"/>
    <col collapsed="false" customWidth="true" hidden="false" outlineLevel="0" max="7" min="7" style="15" width="30"/>
    <col collapsed="false" customWidth="true" hidden="false" outlineLevel="0" max="8" min="8" style="15" width="14"/>
    <col collapsed="false" customWidth="true" hidden="false" outlineLevel="0" max="9" min="9" style="15" width="10"/>
    <col collapsed="false" customWidth="true" hidden="false" outlineLevel="0" max="10" min="10" style="15" width="26"/>
  </cols>
  <sheetData>
    <row r="1" customFormat="false" ht="25.5" hidden="false" customHeight="true" outlineLevel="0" collapsed="false">
      <c r="A1" s="16" t="s">
        <v>55</v>
      </c>
      <c r="B1" s="16"/>
      <c r="C1" s="16"/>
      <c r="D1" s="16"/>
      <c r="E1" s="16"/>
      <c r="F1" s="16"/>
      <c r="G1" s="16"/>
      <c r="H1" s="16"/>
      <c r="I1" s="16"/>
      <c r="J1" s="16"/>
    </row>
    <row r="3" customFormat="false" ht="14.25" hidden="false" customHeight="false" outlineLevel="0" collapsed="false">
      <c r="A3" s="17" t="s">
        <v>56</v>
      </c>
      <c r="B3" s="18" t="s">
        <v>57</v>
      </c>
      <c r="C3" s="18"/>
      <c r="G3" s="17" t="s">
        <v>58</v>
      </c>
      <c r="H3" s="18" t="s">
        <v>59</v>
      </c>
      <c r="I3" s="18"/>
      <c r="J3" s="18"/>
    </row>
    <row r="4" customFormat="false" ht="14.25" hidden="false" customHeight="false" outlineLevel="0" collapsed="false">
      <c r="A4" s="17" t="s">
        <v>60</v>
      </c>
      <c r="B4" s="18" t="s">
        <v>61</v>
      </c>
      <c r="C4" s="18"/>
      <c r="G4" s="17" t="s">
        <v>62</v>
      </c>
      <c r="H4" s="18"/>
      <c r="I4" s="18"/>
      <c r="J4" s="18"/>
    </row>
    <row r="5" customFormat="false" ht="14.25" hidden="false" customHeight="false" outlineLevel="0" collapsed="false">
      <c r="A5" s="17" t="s">
        <v>63</v>
      </c>
      <c r="B5" s="18" t="s">
        <v>64</v>
      </c>
      <c r="C5" s="18"/>
      <c r="G5" s="17" t="s">
        <v>65</v>
      </c>
      <c r="H5" s="18" t="s">
        <v>66</v>
      </c>
      <c r="I5" s="18"/>
      <c r="J5" s="18"/>
    </row>
    <row r="6" customFormat="false" ht="25.5" hidden="false" customHeight="true" outlineLevel="0" collapsed="false">
      <c r="A6" s="19" t="s">
        <v>67</v>
      </c>
      <c r="B6" s="19"/>
      <c r="C6" s="19"/>
      <c r="D6" s="19"/>
      <c r="E6" s="19"/>
      <c r="F6" s="19"/>
      <c r="G6" s="19"/>
      <c r="H6" s="19"/>
      <c r="I6" s="19"/>
      <c r="J6" s="19"/>
    </row>
    <row r="7" customFormat="false" ht="31.5" hidden="false" customHeight="true" outlineLevel="0" collapsed="false">
      <c r="A7" s="20" t="s">
        <v>68</v>
      </c>
      <c r="B7" s="20" t="s">
        <v>69</v>
      </c>
      <c r="C7" s="20" t="s">
        <v>70</v>
      </c>
      <c r="D7" s="20" t="s">
        <v>71</v>
      </c>
      <c r="E7" s="20" t="s">
        <v>72</v>
      </c>
      <c r="F7" s="20" t="s">
        <v>73</v>
      </c>
      <c r="G7" s="20" t="s">
        <v>74</v>
      </c>
      <c r="H7" s="20" t="s">
        <v>75</v>
      </c>
      <c r="I7" s="20" t="s">
        <v>76</v>
      </c>
      <c r="J7" s="20" t="s">
        <v>77</v>
      </c>
    </row>
    <row r="8" customFormat="false" ht="40.4" hidden="false" customHeight="true" outlineLevel="0" collapsed="false">
      <c r="A8" s="21" t="s">
        <v>78</v>
      </c>
      <c r="B8" s="21" t="s">
        <v>79</v>
      </c>
      <c r="C8" s="21" t="s">
        <v>80</v>
      </c>
      <c r="D8" s="21" t="s">
        <v>81</v>
      </c>
      <c r="E8" s="21" t="s">
        <v>82</v>
      </c>
      <c r="F8" s="21" t="s">
        <v>83</v>
      </c>
      <c r="G8" s="22" t="s">
        <v>84</v>
      </c>
      <c r="H8" s="22" t="s">
        <v>85</v>
      </c>
      <c r="I8" s="22" t="s">
        <v>86</v>
      </c>
      <c r="J8" s="22" t="s">
        <v>87</v>
      </c>
    </row>
    <row r="9" customFormat="false" ht="38.55" hidden="false" customHeight="true" outlineLevel="0" collapsed="false">
      <c r="A9" s="23" t="s">
        <v>88</v>
      </c>
      <c r="B9" s="23" t="s">
        <v>79</v>
      </c>
      <c r="C9" s="23" t="s">
        <v>80</v>
      </c>
      <c r="D9" s="23" t="s">
        <v>89</v>
      </c>
      <c r="E9" s="23" t="s">
        <v>90</v>
      </c>
      <c r="F9" s="23" t="s">
        <v>91</v>
      </c>
      <c r="G9" s="24" t="s">
        <v>92</v>
      </c>
      <c r="H9" s="24" t="s">
        <v>85</v>
      </c>
      <c r="I9" s="24" t="s">
        <v>86</v>
      </c>
      <c r="J9" s="24" t="s">
        <v>87</v>
      </c>
    </row>
    <row r="10" customFormat="false" ht="38.55" hidden="false" customHeight="true" outlineLevel="0" collapsed="false">
      <c r="A10" s="21" t="s">
        <v>93</v>
      </c>
      <c r="B10" s="21" t="s">
        <v>94</v>
      </c>
      <c r="C10" s="21" t="s">
        <v>95</v>
      </c>
      <c r="D10" s="21" t="s">
        <v>96</v>
      </c>
      <c r="E10" s="21" t="s">
        <v>97</v>
      </c>
      <c r="F10" s="21" t="s">
        <v>98</v>
      </c>
      <c r="G10" s="22" t="s">
        <v>99</v>
      </c>
      <c r="H10" s="22" t="s">
        <v>85</v>
      </c>
      <c r="I10" s="22" t="s">
        <v>86</v>
      </c>
      <c r="J10" s="22" t="s">
        <v>100</v>
      </c>
    </row>
    <row r="11" customFormat="false" ht="38.55" hidden="false" customHeight="true" outlineLevel="0" collapsed="false">
      <c r="A11" s="23" t="s">
        <v>101</v>
      </c>
      <c r="B11" s="23" t="s">
        <v>94</v>
      </c>
      <c r="C11" s="23" t="s">
        <v>95</v>
      </c>
      <c r="D11" s="23" t="s">
        <v>102</v>
      </c>
      <c r="E11" s="23" t="s">
        <v>103</v>
      </c>
      <c r="F11" s="23" t="s">
        <v>104</v>
      </c>
      <c r="G11" s="24" t="s">
        <v>105</v>
      </c>
      <c r="H11" s="24" t="s">
        <v>85</v>
      </c>
      <c r="I11" s="24" t="s">
        <v>86</v>
      </c>
      <c r="J11" s="24" t="s">
        <v>100</v>
      </c>
    </row>
    <row r="12" customFormat="false" ht="33.55" hidden="false" customHeight="true" outlineLevel="0" collapsed="false">
      <c r="A12" s="21" t="s">
        <v>106</v>
      </c>
      <c r="B12" s="21" t="s">
        <v>107</v>
      </c>
      <c r="C12" s="21" t="s">
        <v>108</v>
      </c>
      <c r="D12" s="21" t="s">
        <v>109</v>
      </c>
      <c r="E12" s="21" t="s">
        <v>110</v>
      </c>
      <c r="F12" s="21" t="s">
        <v>111</v>
      </c>
      <c r="G12" s="22" t="s">
        <v>112</v>
      </c>
      <c r="H12" s="22" t="s">
        <v>85</v>
      </c>
      <c r="I12" s="22" t="s">
        <v>86</v>
      </c>
      <c r="J12" s="22" t="s">
        <v>113</v>
      </c>
    </row>
    <row r="13" customFormat="false" ht="33.55" hidden="false" customHeight="true" outlineLevel="0" collapsed="false">
      <c r="A13" s="23" t="s">
        <v>114</v>
      </c>
      <c r="B13" s="23" t="s">
        <v>115</v>
      </c>
      <c r="C13" s="23" t="s">
        <v>116</v>
      </c>
      <c r="D13" s="23" t="s">
        <v>117</v>
      </c>
      <c r="E13" s="23" t="s">
        <v>118</v>
      </c>
      <c r="F13" s="23" t="s">
        <v>119</v>
      </c>
      <c r="G13" s="24" t="s">
        <v>120</v>
      </c>
      <c r="H13" s="24" t="s">
        <v>85</v>
      </c>
      <c r="I13" s="24" t="s">
        <v>86</v>
      </c>
      <c r="J13" s="24" t="s">
        <v>121</v>
      </c>
    </row>
    <row r="14" customFormat="false" ht="33.55" hidden="false" customHeight="true" outlineLevel="0" collapsed="false">
      <c r="A14" s="21" t="s">
        <v>122</v>
      </c>
      <c r="B14" s="21" t="s">
        <v>115</v>
      </c>
      <c r="C14" s="21" t="s">
        <v>116</v>
      </c>
      <c r="D14" s="21" t="s">
        <v>123</v>
      </c>
      <c r="E14" s="21" t="s">
        <v>124</v>
      </c>
      <c r="F14" s="21" t="s">
        <v>125</v>
      </c>
      <c r="G14" s="22" t="s">
        <v>126</v>
      </c>
      <c r="H14" s="22" t="s">
        <v>85</v>
      </c>
      <c r="I14" s="22" t="s">
        <v>86</v>
      </c>
      <c r="J14" s="22" t="s">
        <v>121</v>
      </c>
    </row>
    <row r="15" customFormat="false" ht="39.8" hidden="false" customHeight="true" outlineLevel="0" collapsed="false">
      <c r="A15" s="23" t="s">
        <v>127</v>
      </c>
      <c r="B15" s="23" t="s">
        <v>128</v>
      </c>
      <c r="C15" s="23" t="s">
        <v>129</v>
      </c>
      <c r="D15" s="23" t="s">
        <v>130</v>
      </c>
      <c r="E15" s="23" t="s">
        <v>131</v>
      </c>
      <c r="F15" s="23" t="s">
        <v>132</v>
      </c>
      <c r="G15" s="24" t="s">
        <v>133</v>
      </c>
      <c r="H15" s="24" t="s">
        <v>85</v>
      </c>
      <c r="I15" s="24" t="s">
        <v>86</v>
      </c>
      <c r="J15" s="24" t="s">
        <v>134</v>
      </c>
    </row>
    <row r="16" customFormat="false" ht="39.8" hidden="false" customHeight="true" outlineLevel="0" collapsed="false">
      <c r="A16" s="21" t="s">
        <v>135</v>
      </c>
      <c r="B16" s="21" t="s">
        <v>136</v>
      </c>
      <c r="C16" s="21" t="s">
        <v>137</v>
      </c>
      <c r="D16" s="21" t="s">
        <v>138</v>
      </c>
      <c r="E16" s="21" t="s">
        <v>139</v>
      </c>
      <c r="F16" s="21" t="s">
        <v>140</v>
      </c>
      <c r="G16" s="22" t="s">
        <v>141</v>
      </c>
      <c r="H16" s="22" t="s">
        <v>85</v>
      </c>
      <c r="I16" s="22" t="s">
        <v>86</v>
      </c>
      <c r="J16" s="22" t="s">
        <v>142</v>
      </c>
    </row>
    <row r="17" customFormat="false" ht="39.8" hidden="false" customHeight="true" outlineLevel="0" collapsed="false">
      <c r="A17" s="23" t="s">
        <v>143</v>
      </c>
      <c r="B17" s="23" t="s">
        <v>144</v>
      </c>
      <c r="C17" s="23" t="s">
        <v>145</v>
      </c>
      <c r="D17" s="23" t="s">
        <v>146</v>
      </c>
      <c r="E17" s="23" t="s">
        <v>147</v>
      </c>
      <c r="F17" s="23" t="s">
        <v>148</v>
      </c>
      <c r="G17" s="24" t="s">
        <v>149</v>
      </c>
      <c r="H17" s="24" t="s">
        <v>85</v>
      </c>
      <c r="I17" s="24" t="s">
        <v>86</v>
      </c>
      <c r="J17" s="24" t="s">
        <v>150</v>
      </c>
    </row>
    <row r="18" customFormat="false" ht="33.55" hidden="false" customHeight="true" outlineLevel="0" collapsed="false">
      <c r="A18" s="25"/>
      <c r="B18" s="25"/>
      <c r="C18" s="25"/>
      <c r="D18" s="25"/>
      <c r="E18" s="25"/>
      <c r="F18" s="25"/>
      <c r="G18" s="26"/>
      <c r="H18" s="26"/>
      <c r="I18" s="26"/>
      <c r="J18" s="26"/>
    </row>
    <row r="19" customFormat="false" ht="30" hidden="false" customHeight="true" outlineLevel="0" collapsed="false">
      <c r="A19" s="27"/>
      <c r="B19" s="27"/>
      <c r="C19" s="27"/>
      <c r="D19" s="27"/>
      <c r="E19" s="27"/>
      <c r="F19" s="27"/>
      <c r="G19" s="28"/>
      <c r="H19" s="28"/>
      <c r="I19" s="28"/>
      <c r="J19" s="28"/>
    </row>
    <row r="20" customFormat="false" ht="30" hidden="false" customHeight="true" outlineLevel="0" collapsed="false">
      <c r="A20" s="25"/>
      <c r="B20" s="25"/>
      <c r="C20" s="25"/>
      <c r="D20" s="25"/>
      <c r="E20" s="25"/>
      <c r="F20" s="25"/>
      <c r="G20" s="26"/>
      <c r="H20" s="26"/>
      <c r="I20" s="26"/>
      <c r="J20" s="26"/>
    </row>
    <row r="21" customFormat="false" ht="30" hidden="false" customHeight="true" outlineLevel="0" collapsed="false">
      <c r="A21" s="27"/>
      <c r="B21" s="27"/>
      <c r="C21" s="27"/>
      <c r="D21" s="27"/>
      <c r="E21" s="27"/>
      <c r="F21" s="27"/>
      <c r="G21" s="28"/>
      <c r="H21" s="28"/>
      <c r="I21" s="28"/>
      <c r="J21" s="28"/>
    </row>
    <row r="22" customFormat="false" ht="30" hidden="false" customHeight="true" outlineLevel="0" collapsed="false">
      <c r="A22" s="25"/>
      <c r="B22" s="25"/>
      <c r="C22" s="25"/>
      <c r="D22" s="25"/>
      <c r="E22" s="25"/>
      <c r="F22" s="25"/>
      <c r="G22" s="26"/>
      <c r="H22" s="26"/>
      <c r="I22" s="26"/>
      <c r="J22" s="26"/>
    </row>
    <row r="23" customFormat="false" ht="30" hidden="false" customHeight="true" outlineLevel="0" collapsed="false">
      <c r="A23" s="27"/>
      <c r="B23" s="27"/>
      <c r="C23" s="27"/>
      <c r="D23" s="27"/>
      <c r="E23" s="27"/>
      <c r="F23" s="27"/>
      <c r="G23" s="28"/>
      <c r="H23" s="28"/>
      <c r="I23" s="28"/>
      <c r="J23" s="28"/>
    </row>
    <row r="24" customFormat="false" ht="30" hidden="false" customHeight="true" outlineLevel="0" collapsed="false">
      <c r="A24" s="25"/>
      <c r="B24" s="25"/>
      <c r="C24" s="25"/>
      <c r="D24" s="25"/>
      <c r="E24" s="25"/>
      <c r="F24" s="25"/>
      <c r="G24" s="26"/>
      <c r="H24" s="26"/>
      <c r="I24" s="26"/>
      <c r="J24" s="26"/>
    </row>
    <row r="25" customFormat="false" ht="30" hidden="false" customHeight="true" outlineLevel="0" collapsed="false">
      <c r="A25" s="27"/>
      <c r="B25" s="27"/>
      <c r="C25" s="27"/>
      <c r="D25" s="27"/>
      <c r="E25" s="27"/>
      <c r="F25" s="27"/>
      <c r="G25" s="28"/>
      <c r="H25" s="28"/>
      <c r="I25" s="28"/>
      <c r="J25" s="28"/>
    </row>
    <row r="26" customFormat="false" ht="30" hidden="false" customHeight="true" outlineLevel="0" collapsed="false">
      <c r="A26" s="25"/>
      <c r="B26" s="25"/>
      <c r="C26" s="25"/>
      <c r="D26" s="25"/>
      <c r="E26" s="25"/>
      <c r="F26" s="25"/>
      <c r="G26" s="26"/>
      <c r="H26" s="26"/>
      <c r="I26" s="26"/>
      <c r="J26" s="26"/>
    </row>
    <row r="27" customFormat="false" ht="30" hidden="false" customHeight="true" outlineLevel="0" collapsed="false">
      <c r="A27" s="27"/>
      <c r="B27" s="27"/>
      <c r="C27" s="27"/>
      <c r="D27" s="27"/>
      <c r="E27" s="27"/>
      <c r="F27" s="27"/>
      <c r="G27" s="28"/>
      <c r="H27" s="28"/>
      <c r="I27" s="28"/>
      <c r="J27" s="28"/>
    </row>
    <row r="28" customFormat="false" ht="30" hidden="false" customHeight="true" outlineLevel="0" collapsed="false">
      <c r="A28" s="25"/>
      <c r="B28" s="25"/>
      <c r="C28" s="25"/>
      <c r="D28" s="25"/>
      <c r="E28" s="25"/>
      <c r="F28" s="25"/>
      <c r="G28" s="26"/>
      <c r="H28" s="26"/>
      <c r="I28" s="26"/>
      <c r="J28" s="26"/>
    </row>
    <row r="29" customFormat="false" ht="30" hidden="false" customHeight="true" outlineLevel="0" collapsed="false">
      <c r="A29" s="27"/>
      <c r="B29" s="27"/>
      <c r="C29" s="27"/>
      <c r="D29" s="27"/>
      <c r="E29" s="27"/>
      <c r="F29" s="27"/>
      <c r="G29" s="28"/>
      <c r="H29" s="28"/>
      <c r="I29" s="28"/>
      <c r="J29" s="28"/>
    </row>
    <row r="30" customFormat="false" ht="30" hidden="false" customHeight="true" outlineLevel="0" collapsed="false">
      <c r="A30" s="25"/>
      <c r="B30" s="25"/>
      <c r="C30" s="25"/>
      <c r="D30" s="25"/>
      <c r="E30" s="25"/>
      <c r="F30" s="25"/>
      <c r="G30" s="26"/>
      <c r="H30" s="26"/>
      <c r="I30" s="26"/>
      <c r="J30" s="26"/>
    </row>
    <row r="31" customFormat="false" ht="30" hidden="false" customHeight="true" outlineLevel="0" collapsed="false">
      <c r="A31" s="27"/>
      <c r="B31" s="27"/>
      <c r="C31" s="27"/>
      <c r="D31" s="27"/>
      <c r="E31" s="27"/>
      <c r="F31" s="27"/>
      <c r="G31" s="28"/>
      <c r="H31" s="28"/>
      <c r="I31" s="28"/>
      <c r="J31" s="28"/>
    </row>
    <row r="32" customFormat="false" ht="30" hidden="false" customHeight="true" outlineLevel="0" collapsed="false">
      <c r="A32" s="25"/>
      <c r="B32" s="25"/>
      <c r="C32" s="25"/>
      <c r="D32" s="25"/>
      <c r="E32" s="25"/>
      <c r="F32" s="25"/>
      <c r="G32" s="26"/>
      <c r="H32" s="26"/>
      <c r="I32" s="26"/>
      <c r="J32" s="26"/>
    </row>
    <row r="33" customFormat="false" ht="30" hidden="false" customHeight="true" outlineLevel="0" collapsed="false">
      <c r="A33" s="27"/>
      <c r="B33" s="27"/>
      <c r="C33" s="27"/>
      <c r="D33" s="27"/>
      <c r="E33" s="27"/>
      <c r="F33" s="27"/>
      <c r="G33" s="28"/>
      <c r="H33" s="28"/>
      <c r="I33" s="28"/>
      <c r="J33" s="28"/>
    </row>
    <row r="34" customFormat="false" ht="30" hidden="false" customHeight="true" outlineLevel="0" collapsed="false">
      <c r="A34" s="25"/>
      <c r="B34" s="25"/>
      <c r="C34" s="25"/>
      <c r="D34" s="25"/>
      <c r="E34" s="25"/>
      <c r="F34" s="25"/>
      <c r="G34" s="26"/>
      <c r="H34" s="26"/>
      <c r="I34" s="26"/>
      <c r="J34" s="26"/>
    </row>
    <row r="35" customFormat="false" ht="30" hidden="false" customHeight="true" outlineLevel="0" collapsed="false">
      <c r="A35" s="27"/>
      <c r="B35" s="27"/>
      <c r="C35" s="27"/>
      <c r="D35" s="27"/>
      <c r="E35" s="27"/>
      <c r="F35" s="27"/>
      <c r="G35" s="28"/>
      <c r="H35" s="28"/>
      <c r="I35" s="28"/>
      <c r="J35" s="28"/>
    </row>
    <row r="36" customFormat="false" ht="30" hidden="false" customHeight="true" outlineLevel="0" collapsed="false">
      <c r="A36" s="25"/>
      <c r="B36" s="25"/>
      <c r="C36" s="25"/>
      <c r="D36" s="25"/>
      <c r="E36" s="25"/>
      <c r="F36" s="25"/>
      <c r="G36" s="26"/>
      <c r="H36" s="26"/>
      <c r="I36" s="26"/>
      <c r="J36" s="26"/>
    </row>
    <row r="37" customFormat="false" ht="30" hidden="false" customHeight="true" outlineLevel="0" collapsed="false">
      <c r="A37" s="27"/>
      <c r="B37" s="27"/>
      <c r="C37" s="27"/>
      <c r="D37" s="27"/>
      <c r="E37" s="27"/>
      <c r="F37" s="27"/>
      <c r="G37" s="28"/>
      <c r="H37" s="28"/>
      <c r="I37" s="28"/>
      <c r="J37" s="28"/>
    </row>
    <row r="38" customFormat="false" ht="30" hidden="false" customHeight="true" outlineLevel="0" collapsed="false">
      <c r="A38" s="25"/>
      <c r="B38" s="25"/>
      <c r="C38" s="25"/>
      <c r="D38" s="25"/>
      <c r="E38" s="25"/>
      <c r="F38" s="25"/>
      <c r="G38" s="26"/>
      <c r="H38" s="26"/>
      <c r="I38" s="26"/>
      <c r="J38" s="26"/>
    </row>
    <row r="39" customFormat="false" ht="30" hidden="false" customHeight="true" outlineLevel="0" collapsed="false">
      <c r="A39" s="27"/>
      <c r="B39" s="27"/>
      <c r="C39" s="27"/>
      <c r="D39" s="27"/>
      <c r="E39" s="27"/>
      <c r="F39" s="27"/>
      <c r="G39" s="28"/>
      <c r="H39" s="28"/>
      <c r="I39" s="28"/>
      <c r="J39" s="28"/>
    </row>
    <row r="40" customFormat="false" ht="30" hidden="false" customHeight="true" outlineLevel="0" collapsed="false">
      <c r="A40" s="25"/>
      <c r="B40" s="25"/>
      <c r="C40" s="25"/>
      <c r="D40" s="25"/>
      <c r="E40" s="25"/>
      <c r="F40" s="25"/>
      <c r="G40" s="26"/>
      <c r="H40" s="26"/>
      <c r="I40" s="26"/>
      <c r="J40" s="26"/>
    </row>
    <row r="41" customFormat="false" ht="30" hidden="false" customHeight="true" outlineLevel="0" collapsed="false">
      <c r="A41" s="27"/>
      <c r="B41" s="27"/>
      <c r="C41" s="27"/>
      <c r="D41" s="27"/>
      <c r="E41" s="27"/>
      <c r="F41" s="27"/>
      <c r="G41" s="28"/>
      <c r="H41" s="28"/>
      <c r="I41" s="28"/>
      <c r="J41" s="28"/>
    </row>
    <row r="42" customFormat="false" ht="30" hidden="false" customHeight="true" outlineLevel="0" collapsed="false">
      <c r="A42" s="25"/>
      <c r="B42" s="25"/>
      <c r="C42" s="25"/>
      <c r="D42" s="25"/>
      <c r="E42" s="25"/>
      <c r="F42" s="25"/>
      <c r="G42" s="26"/>
      <c r="H42" s="26"/>
      <c r="I42" s="26"/>
      <c r="J42" s="26"/>
    </row>
    <row r="43" customFormat="false" ht="30" hidden="false" customHeight="true" outlineLevel="0" collapsed="false">
      <c r="A43" s="27"/>
      <c r="B43" s="27"/>
      <c r="C43" s="27"/>
      <c r="D43" s="27"/>
      <c r="E43" s="27"/>
      <c r="F43" s="27"/>
      <c r="G43" s="28"/>
      <c r="H43" s="28"/>
      <c r="I43" s="28"/>
      <c r="J43" s="28"/>
    </row>
    <row r="44" customFormat="false" ht="30" hidden="false" customHeight="true" outlineLevel="0" collapsed="false">
      <c r="A44" s="25"/>
      <c r="B44" s="25"/>
      <c r="C44" s="25"/>
      <c r="D44" s="25"/>
      <c r="E44" s="25"/>
      <c r="F44" s="25"/>
      <c r="G44" s="26"/>
      <c r="H44" s="26"/>
      <c r="I44" s="26"/>
      <c r="J44" s="26"/>
    </row>
    <row r="45" customFormat="false" ht="30" hidden="false" customHeight="true" outlineLevel="0" collapsed="false">
      <c r="A45" s="27"/>
      <c r="B45" s="27"/>
      <c r="C45" s="27"/>
      <c r="D45" s="27"/>
      <c r="E45" s="27"/>
      <c r="F45" s="27"/>
      <c r="G45" s="28"/>
      <c r="H45" s="28"/>
      <c r="I45" s="28"/>
      <c r="J45" s="28"/>
    </row>
    <row r="46" customFormat="false" ht="30" hidden="false" customHeight="true" outlineLevel="0" collapsed="false">
      <c r="A46" s="25"/>
      <c r="B46" s="25"/>
      <c r="C46" s="25"/>
      <c r="D46" s="25"/>
      <c r="E46" s="25"/>
      <c r="F46" s="25"/>
      <c r="G46" s="26"/>
      <c r="H46" s="26"/>
      <c r="I46" s="26"/>
      <c r="J46" s="26"/>
    </row>
    <row r="47" customFormat="false" ht="30" hidden="false" customHeight="true" outlineLevel="0" collapsed="false">
      <c r="A47" s="27"/>
      <c r="B47" s="27"/>
      <c r="C47" s="27"/>
      <c r="D47" s="27"/>
      <c r="E47" s="27"/>
      <c r="F47" s="27"/>
      <c r="G47" s="28"/>
      <c r="H47" s="28"/>
      <c r="I47" s="28"/>
      <c r="J47" s="28"/>
    </row>
    <row r="48" customFormat="false" ht="30" hidden="false" customHeight="true" outlineLevel="0" collapsed="false">
      <c r="A48" s="25"/>
      <c r="B48" s="25"/>
      <c r="C48" s="25"/>
      <c r="D48" s="25"/>
      <c r="E48" s="25"/>
      <c r="F48" s="25"/>
      <c r="G48" s="26"/>
      <c r="H48" s="26"/>
      <c r="I48" s="26"/>
      <c r="J48" s="26"/>
    </row>
    <row r="49" customFormat="false" ht="30" hidden="false" customHeight="true" outlineLevel="0" collapsed="false">
      <c r="A49" s="27"/>
      <c r="B49" s="27"/>
      <c r="C49" s="27"/>
      <c r="D49" s="27"/>
      <c r="E49" s="27"/>
      <c r="F49" s="27"/>
      <c r="G49" s="28"/>
      <c r="H49" s="28"/>
      <c r="I49" s="28"/>
      <c r="J49" s="28"/>
    </row>
    <row r="50" customFormat="false" ht="30" hidden="false" customHeight="true" outlineLevel="0" collapsed="false">
      <c r="A50" s="25"/>
      <c r="B50" s="25"/>
      <c r="C50" s="25"/>
      <c r="D50" s="25"/>
      <c r="E50" s="25"/>
      <c r="F50" s="25"/>
      <c r="G50" s="26"/>
      <c r="H50" s="26"/>
      <c r="I50" s="26"/>
      <c r="J50" s="26"/>
    </row>
    <row r="51" customFormat="false" ht="30" hidden="false" customHeight="true" outlineLevel="0" collapsed="false">
      <c r="A51" s="27"/>
      <c r="B51" s="27"/>
      <c r="C51" s="27"/>
      <c r="D51" s="27"/>
      <c r="E51" s="27"/>
      <c r="F51" s="27"/>
      <c r="G51" s="28"/>
      <c r="H51" s="28"/>
      <c r="I51" s="28"/>
      <c r="J51" s="28"/>
    </row>
    <row r="52" customFormat="false" ht="30" hidden="false" customHeight="true" outlineLevel="0" collapsed="false">
      <c r="A52" s="25"/>
      <c r="B52" s="25"/>
      <c r="C52" s="25"/>
      <c r="D52" s="25"/>
      <c r="E52" s="25"/>
      <c r="F52" s="25"/>
      <c r="G52" s="26"/>
      <c r="H52" s="26"/>
      <c r="I52" s="26"/>
      <c r="J52" s="26"/>
    </row>
    <row r="53" customFormat="false" ht="30" hidden="false" customHeight="true" outlineLevel="0" collapsed="false">
      <c r="A53" s="27"/>
      <c r="B53" s="27"/>
      <c r="C53" s="27"/>
      <c r="D53" s="27"/>
      <c r="E53" s="27"/>
      <c r="F53" s="27"/>
      <c r="G53" s="28"/>
      <c r="H53" s="28"/>
      <c r="I53" s="28"/>
      <c r="J53" s="28"/>
    </row>
    <row r="54" customFormat="false" ht="30" hidden="false" customHeight="true" outlineLevel="0" collapsed="false">
      <c r="A54" s="25"/>
      <c r="B54" s="25"/>
      <c r="C54" s="25"/>
      <c r="D54" s="25"/>
      <c r="E54" s="25"/>
      <c r="F54" s="25"/>
      <c r="G54" s="26"/>
      <c r="H54" s="26"/>
      <c r="I54" s="26"/>
      <c r="J54" s="26"/>
    </row>
    <row r="55" customFormat="false" ht="30" hidden="false" customHeight="true" outlineLevel="0" collapsed="false">
      <c r="A55" s="27"/>
      <c r="B55" s="27"/>
      <c r="C55" s="27"/>
      <c r="D55" s="27"/>
      <c r="E55" s="27"/>
      <c r="F55" s="27"/>
      <c r="G55" s="28"/>
      <c r="H55" s="28"/>
      <c r="I55" s="28"/>
      <c r="J55" s="28"/>
    </row>
    <row r="56" customFormat="false" ht="30" hidden="false" customHeight="true" outlineLevel="0" collapsed="false">
      <c r="A56" s="25"/>
      <c r="B56" s="25"/>
      <c r="C56" s="25"/>
      <c r="D56" s="25"/>
      <c r="E56" s="25"/>
      <c r="F56" s="25"/>
      <c r="G56" s="26"/>
      <c r="H56" s="26"/>
      <c r="I56" s="26"/>
      <c r="J56" s="26"/>
    </row>
    <row r="57" customFormat="false" ht="30" hidden="false" customHeight="true" outlineLevel="0" collapsed="false">
      <c r="A57" s="27"/>
      <c r="B57" s="27"/>
      <c r="C57" s="27"/>
      <c r="D57" s="27"/>
      <c r="E57" s="27"/>
      <c r="F57" s="27"/>
      <c r="G57" s="28"/>
      <c r="H57" s="28"/>
      <c r="I57" s="28"/>
      <c r="J57" s="28"/>
    </row>
    <row r="58" customFormat="false" ht="30" hidden="false" customHeight="true" outlineLevel="0" collapsed="false">
      <c r="A58" s="25"/>
      <c r="B58" s="25"/>
      <c r="C58" s="25"/>
      <c r="D58" s="25"/>
      <c r="E58" s="25"/>
      <c r="F58" s="25"/>
      <c r="G58" s="26"/>
      <c r="H58" s="26"/>
      <c r="I58" s="26"/>
      <c r="J58" s="26"/>
    </row>
    <row r="59" customFormat="false" ht="30" hidden="false" customHeight="true" outlineLevel="0" collapsed="false">
      <c r="A59" s="27"/>
      <c r="B59" s="27"/>
      <c r="C59" s="27"/>
      <c r="D59" s="27"/>
      <c r="E59" s="27"/>
      <c r="F59" s="27"/>
      <c r="G59" s="28"/>
      <c r="H59" s="28"/>
      <c r="I59" s="28"/>
      <c r="J59" s="28"/>
    </row>
    <row r="60" customFormat="false" ht="30" hidden="false" customHeight="true" outlineLevel="0" collapsed="false">
      <c r="A60" s="25"/>
      <c r="B60" s="25"/>
      <c r="C60" s="25"/>
      <c r="D60" s="25"/>
      <c r="E60" s="25"/>
      <c r="F60" s="25"/>
      <c r="G60" s="26"/>
      <c r="H60" s="26"/>
      <c r="I60" s="26"/>
      <c r="J60" s="26"/>
    </row>
    <row r="61" customFormat="false" ht="30" hidden="false" customHeight="true" outlineLevel="0" collapsed="false">
      <c r="A61" s="27"/>
      <c r="B61" s="27"/>
      <c r="C61" s="27"/>
      <c r="D61" s="27"/>
      <c r="E61" s="27"/>
      <c r="F61" s="27"/>
      <c r="G61" s="28"/>
      <c r="H61" s="28"/>
      <c r="I61" s="28"/>
      <c r="J61" s="28"/>
    </row>
    <row r="62" customFormat="false" ht="30" hidden="false" customHeight="true" outlineLevel="0" collapsed="false">
      <c r="A62" s="25"/>
      <c r="B62" s="25"/>
      <c r="C62" s="25"/>
      <c r="D62" s="25"/>
      <c r="E62" s="25"/>
      <c r="F62" s="25"/>
      <c r="G62" s="26"/>
      <c r="H62" s="26"/>
      <c r="I62" s="26"/>
      <c r="J62" s="26"/>
    </row>
    <row r="63" customFormat="false" ht="30" hidden="false" customHeight="true" outlineLevel="0" collapsed="false">
      <c r="A63" s="27"/>
      <c r="B63" s="27"/>
      <c r="C63" s="27"/>
      <c r="D63" s="27"/>
      <c r="E63" s="27"/>
      <c r="F63" s="27"/>
      <c r="G63" s="28"/>
      <c r="H63" s="28"/>
      <c r="I63" s="28"/>
      <c r="J63" s="28"/>
    </row>
    <row r="64" customFormat="false" ht="30" hidden="false" customHeight="true" outlineLevel="0" collapsed="false">
      <c r="A64" s="25"/>
      <c r="B64" s="25"/>
      <c r="C64" s="25"/>
      <c r="D64" s="25"/>
      <c r="E64" s="25"/>
      <c r="F64" s="25"/>
      <c r="G64" s="26"/>
      <c r="H64" s="26"/>
      <c r="I64" s="26"/>
      <c r="J64" s="26"/>
    </row>
    <row r="65" customFormat="false" ht="30" hidden="false" customHeight="true" outlineLevel="0" collapsed="false">
      <c r="A65" s="27"/>
      <c r="B65" s="27"/>
      <c r="C65" s="27"/>
      <c r="D65" s="27"/>
      <c r="E65" s="27"/>
      <c r="F65" s="27"/>
      <c r="G65" s="28"/>
      <c r="H65" s="28"/>
      <c r="I65" s="28"/>
      <c r="J65" s="28"/>
    </row>
    <row r="66" customFormat="false" ht="30" hidden="false" customHeight="true" outlineLevel="0" collapsed="false">
      <c r="A66" s="25"/>
      <c r="B66" s="25"/>
      <c r="C66" s="25"/>
      <c r="D66" s="25"/>
      <c r="E66" s="25"/>
      <c r="F66" s="25"/>
      <c r="G66" s="26"/>
      <c r="H66" s="26"/>
      <c r="I66" s="26"/>
      <c r="J66" s="26"/>
    </row>
    <row r="1048576" customFormat="false" ht="12.8" hidden="false" customHeight="false" outlineLevel="0" collapsed="false"/>
  </sheetData>
  <mergeCells count="8">
    <mergeCell ref="A1:J1"/>
    <mergeCell ref="B3:C3"/>
    <mergeCell ref="H3:J3"/>
    <mergeCell ref="B4:C4"/>
    <mergeCell ref="H4:J4"/>
    <mergeCell ref="B5:C5"/>
    <mergeCell ref="H5:J5"/>
    <mergeCell ref="A6:J6"/>
  </mergeCells>
  <conditionalFormatting sqref="H8:H66">
    <cfRule type="cellIs" priority="2" operator="equal" aboveAverage="0" equalAverage="0" bottom="0" percent="0" rank="0" text="" dxfId="0">
      <formula>"APROBADA"</formula>
    </cfRule>
    <cfRule type="cellIs" priority="3" operator="equal" aboveAverage="0" equalAverage="0" bottom="0" percent="0" rank="0" text="" dxfId="1">
      <formula>"FALLIDA"</formula>
    </cfRule>
    <cfRule type="cellIs" priority="4" operator="equal" aboveAverage="0" equalAverage="0" bottom="0" percent="0" rank="0" text="" dxfId="2">
      <formula>"OBSERVACION"</formula>
    </cfRule>
    <cfRule type="cellIs" priority="5" operator="equal" aboveAverage="0" equalAverage="0" bottom="0" percent="0" rank="0" text="" dxfId="3">
      <formula>"BLOQUEADA"</formula>
    </cfRule>
  </conditionalFormatting>
  <dataValidations count="1">
    <dataValidation allowBlank="true" error="Elija: APROBADA, FALLIDA, BLOQUEADA u OBSERVACION." errorStyle="stop" errorTitle="Estado no valido" operator="between" showDropDown="false" showErrorMessage="false" showInputMessage="false" sqref="H8:H66" type="list">
      <formula1>"APROBADA,FALLIDA,BLOQUEADA,OBSERVACION"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7"/>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0" ySplit="7" topLeftCell="A8" activePane="bottomLeft" state="frozen"/>
      <selection pane="topLeft" activeCell="A1" activeCellId="0" sqref="A1"/>
      <selection pane="bottomLeft" activeCell="A8" activeCellId="0" sqref="A8"/>
    </sheetView>
  </sheetViews>
  <sheetFormatPr defaultColWidth="9.18359375" defaultRowHeight="14.25" zeroHeight="false" outlineLevelRow="0" outlineLevelCol="0"/>
  <cols>
    <col collapsed="false" customWidth="true" hidden="false" outlineLevel="0" max="1" min="1" style="15" width="8"/>
    <col collapsed="false" customWidth="true" hidden="false" outlineLevel="0" max="2" min="2" style="15" width="11"/>
    <col collapsed="false" customWidth="true" hidden="false" outlineLevel="0" max="3" min="3" style="15" width="26"/>
    <col collapsed="false" customWidth="true" hidden="false" outlineLevel="0" max="4" min="4" style="15" width="36"/>
    <col collapsed="false" customWidth="true" hidden="false" outlineLevel="0" max="5" min="5" style="15" width="26"/>
    <col collapsed="false" customWidth="true" hidden="false" outlineLevel="0" max="6" min="6" style="15" width="34"/>
    <col collapsed="false" customWidth="true" hidden="false" outlineLevel="0" max="7" min="7" style="15" width="30"/>
    <col collapsed="false" customWidth="true" hidden="false" outlineLevel="0" max="8" min="8" style="15" width="14"/>
    <col collapsed="false" customWidth="true" hidden="false" outlineLevel="0" max="9" min="9" style="15" width="10"/>
    <col collapsed="false" customWidth="true" hidden="false" outlineLevel="0" max="10" min="10" style="15" width="24"/>
  </cols>
  <sheetData>
    <row r="1" customFormat="false" ht="25.5" hidden="false" customHeight="true" outlineLevel="0" collapsed="false">
      <c r="A1" s="16" t="s">
        <v>151</v>
      </c>
      <c r="B1" s="16"/>
      <c r="C1" s="16"/>
      <c r="D1" s="16"/>
      <c r="E1" s="16"/>
      <c r="F1" s="16"/>
      <c r="G1" s="16"/>
      <c r="H1" s="16"/>
      <c r="I1" s="16"/>
      <c r="J1" s="16"/>
    </row>
    <row r="3" customFormat="false" ht="14.25" hidden="false" customHeight="false" outlineLevel="0" collapsed="false">
      <c r="A3" s="17" t="s">
        <v>56</v>
      </c>
      <c r="B3" s="18" t="s">
        <v>57</v>
      </c>
      <c r="C3" s="18"/>
      <c r="D3" s="29" t="s">
        <v>58</v>
      </c>
      <c r="E3" s="18" t="s">
        <v>152</v>
      </c>
      <c r="F3" s="18"/>
    </row>
    <row r="4" customFormat="false" ht="14.25" hidden="false" customHeight="false" outlineLevel="0" collapsed="false">
      <c r="A4" s="17" t="s">
        <v>60</v>
      </c>
      <c r="B4" s="18" t="s">
        <v>61</v>
      </c>
      <c r="C4" s="18"/>
      <c r="D4" s="29" t="s">
        <v>62</v>
      </c>
      <c r="E4" s="18"/>
      <c r="F4" s="18"/>
    </row>
    <row r="5" customFormat="false" ht="14.25" hidden="false" customHeight="false" outlineLevel="0" collapsed="false">
      <c r="A5" s="17" t="s">
        <v>63</v>
      </c>
      <c r="B5" s="18" t="s">
        <v>153</v>
      </c>
      <c r="C5" s="18"/>
      <c r="D5" s="29" t="s">
        <v>65</v>
      </c>
      <c r="E5" s="18" t="s">
        <v>154</v>
      </c>
      <c r="F5" s="18"/>
    </row>
    <row r="6" customFormat="false" ht="25.5" hidden="false" customHeight="true" outlineLevel="0" collapsed="false">
      <c r="A6" s="19" t="s">
        <v>155</v>
      </c>
      <c r="B6" s="19"/>
      <c r="C6" s="19"/>
      <c r="D6" s="19"/>
      <c r="E6" s="19"/>
      <c r="F6" s="19"/>
      <c r="G6" s="19"/>
      <c r="H6" s="19"/>
      <c r="I6" s="19"/>
      <c r="J6" s="19"/>
    </row>
    <row r="7" customFormat="false" ht="31.5" hidden="false" customHeight="true" outlineLevel="0" collapsed="false">
      <c r="A7" s="20" t="s">
        <v>68</v>
      </c>
      <c r="B7" s="20" t="s">
        <v>69</v>
      </c>
      <c r="C7" s="20" t="s">
        <v>156</v>
      </c>
      <c r="D7" s="20" t="s">
        <v>157</v>
      </c>
      <c r="E7" s="20" t="s">
        <v>158</v>
      </c>
      <c r="F7" s="20" t="s">
        <v>73</v>
      </c>
      <c r="G7" s="20" t="s">
        <v>74</v>
      </c>
      <c r="H7" s="20" t="s">
        <v>75</v>
      </c>
      <c r="I7" s="20" t="s">
        <v>76</v>
      </c>
      <c r="J7" s="20" t="s">
        <v>77</v>
      </c>
    </row>
    <row r="8" customFormat="false" ht="30" hidden="false" customHeight="true" outlineLevel="0" collapsed="false">
      <c r="A8" s="21" t="s">
        <v>159</v>
      </c>
      <c r="B8" s="21" t="s">
        <v>160</v>
      </c>
      <c r="C8" s="21" t="s">
        <v>161</v>
      </c>
      <c r="D8" s="21" t="s">
        <v>162</v>
      </c>
      <c r="E8" s="21" t="s">
        <v>163</v>
      </c>
      <c r="F8" s="21" t="s">
        <v>164</v>
      </c>
      <c r="G8" s="22" t="s">
        <v>165</v>
      </c>
      <c r="H8" s="22" t="s">
        <v>85</v>
      </c>
      <c r="I8" s="30"/>
      <c r="J8" s="31"/>
    </row>
    <row r="9" customFormat="false" ht="30" hidden="false" customHeight="true" outlineLevel="0" collapsed="false">
      <c r="A9" s="23" t="s">
        <v>166</v>
      </c>
      <c r="B9" s="23" t="s">
        <v>160</v>
      </c>
      <c r="C9" s="23" t="s">
        <v>167</v>
      </c>
      <c r="D9" s="23" t="s">
        <v>168</v>
      </c>
      <c r="E9" s="23" t="s">
        <v>169</v>
      </c>
      <c r="F9" s="23" t="s">
        <v>170</v>
      </c>
      <c r="G9" s="24" t="s">
        <v>171</v>
      </c>
      <c r="H9" s="24" t="s">
        <v>85</v>
      </c>
      <c r="I9" s="26" t="s">
        <v>86</v>
      </c>
      <c r="J9" s="26" t="s">
        <v>172</v>
      </c>
    </row>
    <row r="10" customFormat="false" ht="30" hidden="false" customHeight="true" outlineLevel="0" collapsed="false">
      <c r="A10" s="21" t="s">
        <v>173</v>
      </c>
      <c r="B10" s="21" t="s">
        <v>160</v>
      </c>
      <c r="C10" s="21" t="s">
        <v>174</v>
      </c>
      <c r="D10" s="21" t="s">
        <v>175</v>
      </c>
      <c r="E10" s="21" t="s">
        <v>176</v>
      </c>
      <c r="F10" s="21" t="s">
        <v>177</v>
      </c>
      <c r="G10" s="22" t="s">
        <v>178</v>
      </c>
      <c r="H10" s="22" t="s">
        <v>85</v>
      </c>
      <c r="I10" s="28" t="s">
        <v>86</v>
      </c>
      <c r="J10" s="28" t="s">
        <v>172</v>
      </c>
    </row>
    <row r="11" customFormat="false" ht="30" hidden="false" customHeight="true" outlineLevel="0" collapsed="false">
      <c r="A11" s="23" t="s">
        <v>179</v>
      </c>
      <c r="B11" s="23" t="s">
        <v>160</v>
      </c>
      <c r="C11" s="23" t="s">
        <v>174</v>
      </c>
      <c r="D11" s="23" t="s">
        <v>180</v>
      </c>
      <c r="E11" s="23" t="s">
        <v>181</v>
      </c>
      <c r="F11" s="23" t="s">
        <v>182</v>
      </c>
      <c r="G11" s="24" t="s">
        <v>183</v>
      </c>
      <c r="H11" s="24" t="s">
        <v>85</v>
      </c>
      <c r="I11" s="26" t="s">
        <v>86</v>
      </c>
      <c r="J11" s="26" t="s">
        <v>172</v>
      </c>
    </row>
    <row r="12" customFormat="false" ht="30" hidden="false" customHeight="true" outlineLevel="0" collapsed="false">
      <c r="A12" s="21" t="s">
        <v>184</v>
      </c>
      <c r="B12" s="21" t="s">
        <v>185</v>
      </c>
      <c r="C12" s="21" t="s">
        <v>186</v>
      </c>
      <c r="D12" s="21" t="s">
        <v>187</v>
      </c>
      <c r="E12" s="21" t="s">
        <v>188</v>
      </c>
      <c r="F12" s="21" t="s">
        <v>189</v>
      </c>
      <c r="G12" s="22" t="s">
        <v>190</v>
      </c>
      <c r="H12" s="22" t="s">
        <v>85</v>
      </c>
      <c r="I12" s="28" t="s">
        <v>86</v>
      </c>
      <c r="J12" s="28" t="s">
        <v>172</v>
      </c>
    </row>
    <row r="13" customFormat="false" ht="30" hidden="false" customHeight="true" outlineLevel="0" collapsed="false">
      <c r="A13" s="23" t="s">
        <v>191</v>
      </c>
      <c r="B13" s="23" t="s">
        <v>185</v>
      </c>
      <c r="C13" s="23" t="s">
        <v>192</v>
      </c>
      <c r="D13" s="23" t="s">
        <v>193</v>
      </c>
      <c r="E13" s="23" t="s">
        <v>194</v>
      </c>
      <c r="F13" s="23" t="s">
        <v>195</v>
      </c>
      <c r="G13" s="24" t="s">
        <v>196</v>
      </c>
      <c r="H13" s="24" t="s">
        <v>85</v>
      </c>
      <c r="I13" s="26" t="s">
        <v>86</v>
      </c>
      <c r="J13" s="26" t="s">
        <v>197</v>
      </c>
    </row>
    <row r="14" customFormat="false" ht="30" hidden="false" customHeight="true" outlineLevel="0" collapsed="false">
      <c r="A14" s="21" t="s">
        <v>198</v>
      </c>
      <c r="B14" s="21" t="s">
        <v>199</v>
      </c>
      <c r="C14" s="21" t="s">
        <v>200</v>
      </c>
      <c r="D14" s="21" t="s">
        <v>201</v>
      </c>
      <c r="E14" s="21" t="s">
        <v>202</v>
      </c>
      <c r="F14" s="21" t="s">
        <v>203</v>
      </c>
      <c r="G14" s="22" t="s">
        <v>204</v>
      </c>
      <c r="H14" s="22" t="s">
        <v>85</v>
      </c>
      <c r="I14" s="28" t="s">
        <v>86</v>
      </c>
      <c r="J14" s="28" t="s">
        <v>197</v>
      </c>
    </row>
    <row r="15" customFormat="false" ht="30" hidden="false" customHeight="true" outlineLevel="0" collapsed="false">
      <c r="A15" s="23" t="s">
        <v>205</v>
      </c>
      <c r="B15" s="23" t="s">
        <v>94</v>
      </c>
      <c r="C15" s="23" t="s">
        <v>206</v>
      </c>
      <c r="D15" s="23" t="s">
        <v>207</v>
      </c>
      <c r="E15" s="23" t="s">
        <v>208</v>
      </c>
      <c r="F15" s="23" t="s">
        <v>209</v>
      </c>
      <c r="G15" s="24" t="s">
        <v>210</v>
      </c>
      <c r="H15" s="24" t="s">
        <v>85</v>
      </c>
      <c r="I15" s="26" t="s">
        <v>86</v>
      </c>
      <c r="J15" s="26" t="s">
        <v>197</v>
      </c>
    </row>
    <row r="16" customFormat="false" ht="30" hidden="false" customHeight="true" outlineLevel="0" collapsed="false">
      <c r="A16" s="21" t="s">
        <v>211</v>
      </c>
      <c r="B16" s="21" t="s">
        <v>94</v>
      </c>
      <c r="C16" s="21" t="s">
        <v>212</v>
      </c>
      <c r="D16" s="21" t="s">
        <v>213</v>
      </c>
      <c r="E16" s="21" t="s">
        <v>214</v>
      </c>
      <c r="F16" s="21" t="s">
        <v>215</v>
      </c>
      <c r="G16" s="22" t="s">
        <v>216</v>
      </c>
      <c r="H16" s="22" t="s">
        <v>85</v>
      </c>
      <c r="I16" s="28" t="s">
        <v>86</v>
      </c>
      <c r="J16" s="28" t="s">
        <v>217</v>
      </c>
    </row>
    <row r="17" customFormat="false" ht="30" hidden="false" customHeight="true" outlineLevel="0" collapsed="false">
      <c r="A17" s="23" t="s">
        <v>218</v>
      </c>
      <c r="B17" s="23" t="s">
        <v>219</v>
      </c>
      <c r="C17" s="23" t="s">
        <v>220</v>
      </c>
      <c r="D17" s="23" t="s">
        <v>221</v>
      </c>
      <c r="E17" s="23" t="s">
        <v>222</v>
      </c>
      <c r="F17" s="23" t="s">
        <v>223</v>
      </c>
      <c r="G17" s="24" t="s">
        <v>224</v>
      </c>
      <c r="H17" s="24" t="s">
        <v>85</v>
      </c>
      <c r="I17" s="26" t="s">
        <v>86</v>
      </c>
      <c r="J17" s="26" t="s">
        <v>217</v>
      </c>
    </row>
    <row r="18" customFormat="false" ht="30" hidden="false" customHeight="true" outlineLevel="0" collapsed="false">
      <c r="A18" s="21" t="s">
        <v>225</v>
      </c>
      <c r="B18" s="21" t="s">
        <v>226</v>
      </c>
      <c r="C18" s="21" t="s">
        <v>227</v>
      </c>
      <c r="D18" s="21" t="s">
        <v>228</v>
      </c>
      <c r="E18" s="21" t="s">
        <v>229</v>
      </c>
      <c r="F18" s="21" t="s">
        <v>230</v>
      </c>
      <c r="G18" s="22" t="s">
        <v>231</v>
      </c>
      <c r="H18" s="22" t="s">
        <v>232</v>
      </c>
      <c r="I18" s="28" t="s">
        <v>86</v>
      </c>
      <c r="J18" s="28" t="s">
        <v>233</v>
      </c>
    </row>
    <row r="19" customFormat="false" ht="30" hidden="false" customHeight="true" outlineLevel="0" collapsed="false">
      <c r="A19" s="23" t="s">
        <v>234</v>
      </c>
      <c r="B19" s="23" t="s">
        <v>235</v>
      </c>
      <c r="C19" s="23" t="s">
        <v>236</v>
      </c>
      <c r="D19" s="23" t="s">
        <v>237</v>
      </c>
      <c r="E19" s="23" t="s">
        <v>238</v>
      </c>
      <c r="F19" s="23" t="s">
        <v>239</v>
      </c>
      <c r="G19" s="24" t="s">
        <v>240</v>
      </c>
      <c r="H19" s="24" t="s">
        <v>85</v>
      </c>
      <c r="I19" s="26" t="s">
        <v>241</v>
      </c>
      <c r="J19" s="26" t="s">
        <v>242</v>
      </c>
    </row>
    <row r="20" customFormat="false" ht="30" hidden="false" customHeight="true" outlineLevel="0" collapsed="false">
      <c r="A20" s="25"/>
      <c r="B20" s="25"/>
      <c r="C20" s="25"/>
      <c r="D20" s="25"/>
      <c r="E20" s="25"/>
      <c r="F20" s="25"/>
      <c r="G20" s="26"/>
      <c r="H20" s="26"/>
      <c r="I20" s="28" t="s">
        <v>86</v>
      </c>
      <c r="J20" s="28" t="s">
        <v>243</v>
      </c>
    </row>
    <row r="21" customFormat="false" ht="30" hidden="false" customHeight="true" outlineLevel="0" collapsed="false">
      <c r="A21" s="27"/>
      <c r="B21" s="27"/>
      <c r="C21" s="27"/>
      <c r="D21" s="27"/>
      <c r="E21" s="27"/>
      <c r="F21" s="27"/>
      <c r="G21" s="28"/>
      <c r="H21" s="28"/>
      <c r="I21" s="26"/>
      <c r="J21" s="26"/>
    </row>
    <row r="22" customFormat="false" ht="30" hidden="false" customHeight="true" outlineLevel="0" collapsed="false">
      <c r="A22" s="25"/>
      <c r="B22" s="25"/>
      <c r="C22" s="25"/>
      <c r="D22" s="25"/>
      <c r="E22" s="25"/>
      <c r="F22" s="25"/>
      <c r="G22" s="26"/>
      <c r="H22" s="26"/>
      <c r="I22" s="28"/>
      <c r="J22" s="28"/>
    </row>
    <row r="23" customFormat="false" ht="30" hidden="false" customHeight="true" outlineLevel="0" collapsed="false">
      <c r="A23" s="27"/>
      <c r="B23" s="27"/>
      <c r="C23" s="27"/>
      <c r="D23" s="27"/>
      <c r="E23" s="27"/>
      <c r="F23" s="27"/>
      <c r="G23" s="28"/>
      <c r="H23" s="28"/>
      <c r="I23" s="26"/>
      <c r="J23" s="26"/>
    </row>
    <row r="24" customFormat="false" ht="30" hidden="false" customHeight="true" outlineLevel="0" collapsed="false">
      <c r="A24" s="25"/>
      <c r="B24" s="25"/>
      <c r="C24" s="25"/>
      <c r="D24" s="25"/>
      <c r="E24" s="25"/>
      <c r="F24" s="25"/>
      <c r="G24" s="26"/>
      <c r="H24" s="26"/>
      <c r="I24" s="28"/>
      <c r="J24" s="28"/>
    </row>
    <row r="25" customFormat="false" ht="30" hidden="false" customHeight="true" outlineLevel="0" collapsed="false">
      <c r="A25" s="27"/>
      <c r="B25" s="27"/>
      <c r="C25" s="27"/>
      <c r="D25" s="27"/>
      <c r="E25" s="27"/>
      <c r="F25" s="27"/>
      <c r="G25" s="28"/>
      <c r="H25" s="28"/>
      <c r="I25" s="26"/>
      <c r="J25" s="26"/>
    </row>
    <row r="26" customFormat="false" ht="30" hidden="false" customHeight="true" outlineLevel="0" collapsed="false">
      <c r="A26" s="25"/>
      <c r="B26" s="25"/>
      <c r="C26" s="25"/>
      <c r="D26" s="25"/>
      <c r="E26" s="25"/>
      <c r="F26" s="25"/>
      <c r="G26" s="26"/>
      <c r="H26" s="26"/>
      <c r="I26" s="28"/>
      <c r="J26" s="28"/>
    </row>
    <row r="27" customFormat="false" ht="30" hidden="false" customHeight="true" outlineLevel="0" collapsed="false">
      <c r="A27" s="27"/>
      <c r="B27" s="27"/>
      <c r="C27" s="27"/>
      <c r="D27" s="27"/>
      <c r="E27" s="27"/>
      <c r="F27" s="27"/>
      <c r="G27" s="28"/>
      <c r="H27" s="28"/>
      <c r="I27" s="26"/>
      <c r="J27" s="26"/>
    </row>
    <row r="28" customFormat="false" ht="30" hidden="false" customHeight="true" outlineLevel="0" collapsed="false">
      <c r="A28" s="25"/>
      <c r="B28" s="25"/>
      <c r="C28" s="25"/>
      <c r="D28" s="25"/>
      <c r="E28" s="25"/>
      <c r="F28" s="25"/>
      <c r="G28" s="26"/>
      <c r="H28" s="26"/>
      <c r="I28" s="28"/>
      <c r="J28" s="28"/>
    </row>
    <row r="29" customFormat="false" ht="30" hidden="false" customHeight="true" outlineLevel="0" collapsed="false">
      <c r="A29" s="27"/>
      <c r="B29" s="27"/>
      <c r="C29" s="27"/>
      <c r="D29" s="27"/>
      <c r="E29" s="27"/>
      <c r="F29" s="27"/>
      <c r="G29" s="28"/>
      <c r="H29" s="28"/>
      <c r="I29" s="26"/>
      <c r="J29" s="26"/>
    </row>
    <row r="30" customFormat="false" ht="30" hidden="false" customHeight="true" outlineLevel="0" collapsed="false">
      <c r="A30" s="25"/>
      <c r="B30" s="25"/>
      <c r="C30" s="25"/>
      <c r="D30" s="25"/>
      <c r="E30" s="25"/>
      <c r="F30" s="25"/>
      <c r="G30" s="26"/>
      <c r="H30" s="26"/>
      <c r="I30" s="28"/>
      <c r="J30" s="28"/>
    </row>
    <row r="31" customFormat="false" ht="30" hidden="false" customHeight="true" outlineLevel="0" collapsed="false">
      <c r="A31" s="27"/>
      <c r="B31" s="27"/>
      <c r="C31" s="27"/>
      <c r="D31" s="27"/>
      <c r="E31" s="27"/>
      <c r="F31" s="27"/>
      <c r="G31" s="28"/>
      <c r="H31" s="28"/>
      <c r="I31" s="26"/>
      <c r="J31" s="26"/>
    </row>
    <row r="32" customFormat="false" ht="30" hidden="false" customHeight="true" outlineLevel="0" collapsed="false">
      <c r="A32" s="25"/>
      <c r="B32" s="25"/>
      <c r="C32" s="25"/>
      <c r="D32" s="25"/>
      <c r="E32" s="25"/>
      <c r="F32" s="25"/>
      <c r="G32" s="26"/>
      <c r="H32" s="26"/>
      <c r="I32" s="28"/>
      <c r="J32" s="28"/>
    </row>
    <row r="33" customFormat="false" ht="30" hidden="false" customHeight="true" outlineLevel="0" collapsed="false">
      <c r="A33" s="27"/>
      <c r="B33" s="27"/>
      <c r="C33" s="27"/>
      <c r="D33" s="27"/>
      <c r="E33" s="27"/>
      <c r="F33" s="27"/>
      <c r="G33" s="28"/>
      <c r="H33" s="28"/>
      <c r="I33" s="26"/>
      <c r="J33" s="26"/>
    </row>
    <row r="34" customFormat="false" ht="30" hidden="false" customHeight="true" outlineLevel="0" collapsed="false">
      <c r="A34" s="25"/>
      <c r="B34" s="25"/>
      <c r="C34" s="25"/>
      <c r="D34" s="25"/>
      <c r="E34" s="25"/>
      <c r="F34" s="25"/>
      <c r="G34" s="26"/>
      <c r="H34" s="26"/>
      <c r="I34" s="28"/>
      <c r="J34" s="28"/>
    </row>
    <row r="35" customFormat="false" ht="30" hidden="false" customHeight="true" outlineLevel="0" collapsed="false">
      <c r="A35" s="27"/>
      <c r="B35" s="27"/>
      <c r="C35" s="27"/>
      <c r="D35" s="27"/>
      <c r="E35" s="27"/>
      <c r="F35" s="27"/>
      <c r="G35" s="28"/>
      <c r="H35" s="28"/>
      <c r="I35" s="26"/>
      <c r="J35" s="26"/>
    </row>
    <row r="36" customFormat="false" ht="30" hidden="false" customHeight="true" outlineLevel="0" collapsed="false">
      <c r="A36" s="25"/>
      <c r="B36" s="25"/>
      <c r="C36" s="25"/>
      <c r="D36" s="25"/>
      <c r="E36" s="25"/>
      <c r="F36" s="25"/>
      <c r="G36" s="26"/>
      <c r="H36" s="26"/>
      <c r="I36" s="28"/>
      <c r="J36" s="28"/>
    </row>
    <row r="37" customFormat="false" ht="30" hidden="false" customHeight="true" outlineLevel="0" collapsed="false">
      <c r="A37" s="27"/>
      <c r="B37" s="27"/>
      <c r="C37" s="27"/>
      <c r="D37" s="27"/>
      <c r="E37" s="27"/>
      <c r="F37" s="27"/>
      <c r="G37" s="28"/>
      <c r="H37" s="28"/>
      <c r="I37" s="26"/>
      <c r="J37" s="26"/>
    </row>
    <row r="38" customFormat="false" ht="30" hidden="false" customHeight="true" outlineLevel="0" collapsed="false">
      <c r="A38" s="25"/>
      <c r="B38" s="25"/>
      <c r="C38" s="25"/>
      <c r="D38" s="25"/>
      <c r="E38" s="25"/>
      <c r="F38" s="25"/>
      <c r="G38" s="26"/>
      <c r="H38" s="26"/>
      <c r="I38" s="28"/>
      <c r="J38" s="28"/>
    </row>
    <row r="39" customFormat="false" ht="30" hidden="false" customHeight="true" outlineLevel="0" collapsed="false">
      <c r="A39" s="27"/>
      <c r="B39" s="27"/>
      <c r="C39" s="27"/>
      <c r="D39" s="27"/>
      <c r="E39" s="27"/>
      <c r="F39" s="27"/>
      <c r="G39" s="28"/>
      <c r="H39" s="28"/>
      <c r="I39" s="26"/>
      <c r="J39" s="26"/>
    </row>
    <row r="40" customFormat="false" ht="30" hidden="false" customHeight="true" outlineLevel="0" collapsed="false">
      <c r="A40" s="25"/>
      <c r="B40" s="25"/>
      <c r="C40" s="25"/>
      <c r="D40" s="25"/>
      <c r="E40" s="25"/>
      <c r="F40" s="25"/>
      <c r="G40" s="26"/>
      <c r="H40" s="26"/>
      <c r="I40" s="28"/>
      <c r="J40" s="28"/>
    </row>
    <row r="41" customFormat="false" ht="30" hidden="false" customHeight="true" outlineLevel="0" collapsed="false">
      <c r="A41" s="27"/>
      <c r="B41" s="27"/>
      <c r="C41" s="27"/>
      <c r="D41" s="27"/>
      <c r="E41" s="27"/>
      <c r="F41" s="27"/>
      <c r="G41" s="28"/>
      <c r="H41" s="28"/>
      <c r="I41" s="26"/>
      <c r="J41" s="26"/>
    </row>
    <row r="42" customFormat="false" ht="30" hidden="false" customHeight="true" outlineLevel="0" collapsed="false">
      <c r="A42" s="25"/>
      <c r="B42" s="25"/>
      <c r="C42" s="25"/>
      <c r="D42" s="25"/>
      <c r="E42" s="25"/>
      <c r="F42" s="25"/>
      <c r="G42" s="26"/>
      <c r="H42" s="26"/>
      <c r="I42" s="28"/>
      <c r="J42" s="28"/>
    </row>
    <row r="43" customFormat="false" ht="30" hidden="false" customHeight="true" outlineLevel="0" collapsed="false">
      <c r="A43" s="27"/>
      <c r="B43" s="27"/>
      <c r="C43" s="27"/>
      <c r="D43" s="27"/>
      <c r="E43" s="27"/>
      <c r="F43" s="27"/>
      <c r="G43" s="28"/>
      <c r="H43" s="28"/>
      <c r="I43" s="26"/>
      <c r="J43" s="26"/>
    </row>
    <row r="44" customFormat="false" ht="30" hidden="false" customHeight="true" outlineLevel="0" collapsed="false">
      <c r="A44" s="25"/>
      <c r="B44" s="25"/>
      <c r="C44" s="25"/>
      <c r="D44" s="25"/>
      <c r="E44" s="25"/>
      <c r="F44" s="25"/>
      <c r="G44" s="26"/>
      <c r="H44" s="26"/>
      <c r="I44" s="28"/>
      <c r="J44" s="28"/>
    </row>
    <row r="45" customFormat="false" ht="30" hidden="false" customHeight="true" outlineLevel="0" collapsed="false">
      <c r="A45" s="27"/>
      <c r="B45" s="27"/>
      <c r="C45" s="27"/>
      <c r="D45" s="27"/>
      <c r="E45" s="27"/>
      <c r="F45" s="27"/>
      <c r="G45" s="28"/>
      <c r="H45" s="28"/>
      <c r="I45" s="26"/>
      <c r="J45" s="26"/>
    </row>
    <row r="46" customFormat="false" ht="30" hidden="false" customHeight="true" outlineLevel="0" collapsed="false">
      <c r="A46" s="25"/>
      <c r="B46" s="25"/>
      <c r="C46" s="25"/>
      <c r="D46" s="25"/>
      <c r="E46" s="25"/>
      <c r="F46" s="25"/>
      <c r="G46" s="26"/>
      <c r="H46" s="26"/>
      <c r="I46" s="28"/>
      <c r="J46" s="28"/>
    </row>
    <row r="47" customFormat="false" ht="30" hidden="false" customHeight="true" outlineLevel="0" collapsed="false">
      <c r="A47" s="27"/>
      <c r="B47" s="27"/>
      <c r="C47" s="27"/>
      <c r="D47" s="27"/>
      <c r="E47" s="27"/>
      <c r="F47" s="27"/>
      <c r="G47" s="28"/>
      <c r="H47" s="28"/>
      <c r="I47" s="26"/>
      <c r="J47" s="26"/>
    </row>
    <row r="48" customFormat="false" ht="30" hidden="false" customHeight="true" outlineLevel="0" collapsed="false">
      <c r="A48" s="25"/>
      <c r="B48" s="25"/>
      <c r="C48" s="25"/>
      <c r="D48" s="25"/>
      <c r="E48" s="25"/>
      <c r="F48" s="25"/>
      <c r="G48" s="26"/>
      <c r="H48" s="26"/>
      <c r="I48" s="28"/>
      <c r="J48" s="28"/>
    </row>
    <row r="49" customFormat="false" ht="30" hidden="false" customHeight="true" outlineLevel="0" collapsed="false">
      <c r="A49" s="27"/>
      <c r="B49" s="27"/>
      <c r="C49" s="27"/>
      <c r="D49" s="27"/>
      <c r="E49" s="27"/>
      <c r="F49" s="27"/>
      <c r="G49" s="28"/>
      <c r="H49" s="28"/>
      <c r="I49" s="26"/>
      <c r="J49" s="26"/>
    </row>
    <row r="50" customFormat="false" ht="30" hidden="false" customHeight="true" outlineLevel="0" collapsed="false">
      <c r="A50" s="25"/>
      <c r="B50" s="25"/>
      <c r="C50" s="25"/>
      <c r="D50" s="25"/>
      <c r="E50" s="25"/>
      <c r="F50" s="25"/>
      <c r="G50" s="26"/>
      <c r="H50" s="26"/>
      <c r="I50" s="28"/>
      <c r="J50" s="28"/>
    </row>
    <row r="51" customFormat="false" ht="30" hidden="false" customHeight="true" outlineLevel="0" collapsed="false">
      <c r="A51" s="27"/>
      <c r="B51" s="27"/>
      <c r="C51" s="27"/>
      <c r="D51" s="27"/>
      <c r="E51" s="27"/>
      <c r="F51" s="27"/>
      <c r="G51" s="28"/>
      <c r="H51" s="28"/>
      <c r="I51" s="26"/>
      <c r="J51" s="26"/>
    </row>
    <row r="52" customFormat="false" ht="30" hidden="false" customHeight="true" outlineLevel="0" collapsed="false">
      <c r="A52" s="25"/>
      <c r="B52" s="25"/>
      <c r="C52" s="25"/>
      <c r="D52" s="25"/>
      <c r="E52" s="25"/>
      <c r="F52" s="25"/>
      <c r="G52" s="26"/>
      <c r="H52" s="26"/>
      <c r="I52" s="28"/>
      <c r="J52" s="28"/>
    </row>
    <row r="53" customFormat="false" ht="30" hidden="false" customHeight="true" outlineLevel="0" collapsed="false">
      <c r="A53" s="27"/>
      <c r="B53" s="27"/>
      <c r="C53" s="27"/>
      <c r="D53" s="27"/>
      <c r="E53" s="27"/>
      <c r="F53" s="27"/>
      <c r="G53" s="28"/>
      <c r="H53" s="28"/>
      <c r="I53" s="26"/>
      <c r="J53" s="26"/>
    </row>
    <row r="54" customFormat="false" ht="30" hidden="false" customHeight="true" outlineLevel="0" collapsed="false">
      <c r="A54" s="25"/>
      <c r="B54" s="25"/>
      <c r="C54" s="25"/>
      <c r="D54" s="25"/>
      <c r="E54" s="25"/>
      <c r="F54" s="25"/>
      <c r="G54" s="26"/>
      <c r="H54" s="26"/>
      <c r="I54" s="28"/>
      <c r="J54" s="28"/>
    </row>
    <row r="55" customFormat="false" ht="30" hidden="false" customHeight="true" outlineLevel="0" collapsed="false">
      <c r="A55" s="27"/>
      <c r="B55" s="27"/>
      <c r="C55" s="27"/>
      <c r="D55" s="27"/>
      <c r="E55" s="27"/>
      <c r="F55" s="27"/>
      <c r="G55" s="28"/>
      <c r="H55" s="28"/>
      <c r="I55" s="26"/>
      <c r="J55" s="26"/>
    </row>
    <row r="56" customFormat="false" ht="30" hidden="false" customHeight="true" outlineLevel="0" collapsed="false">
      <c r="A56" s="25"/>
      <c r="B56" s="25"/>
      <c r="C56" s="25"/>
      <c r="D56" s="25"/>
      <c r="E56" s="25"/>
      <c r="F56" s="25"/>
      <c r="G56" s="26"/>
      <c r="H56" s="26"/>
      <c r="I56" s="28"/>
      <c r="J56" s="28"/>
    </row>
    <row r="57" customFormat="false" ht="30" hidden="false" customHeight="true" outlineLevel="0" collapsed="false">
      <c r="A57" s="27"/>
      <c r="B57" s="27"/>
      <c r="C57" s="27"/>
      <c r="D57" s="27"/>
      <c r="E57" s="27"/>
      <c r="F57" s="27"/>
      <c r="G57" s="28"/>
      <c r="H57" s="28"/>
      <c r="I57" s="26"/>
      <c r="J57" s="26"/>
    </row>
    <row r="58" customFormat="false" ht="30" hidden="false" customHeight="true" outlineLevel="0" collapsed="false">
      <c r="A58" s="25"/>
      <c r="B58" s="25"/>
      <c r="C58" s="25"/>
      <c r="D58" s="25"/>
      <c r="E58" s="25"/>
      <c r="F58" s="25"/>
      <c r="G58" s="26"/>
      <c r="H58" s="26"/>
      <c r="I58" s="28"/>
      <c r="J58" s="28"/>
    </row>
    <row r="59" customFormat="false" ht="30" hidden="false" customHeight="true" outlineLevel="0" collapsed="false">
      <c r="A59" s="27"/>
      <c r="B59" s="27"/>
      <c r="C59" s="27"/>
      <c r="D59" s="27"/>
      <c r="E59" s="27"/>
      <c r="F59" s="27"/>
      <c r="G59" s="28"/>
      <c r="H59" s="28"/>
      <c r="I59" s="26"/>
      <c r="J59" s="26"/>
    </row>
    <row r="60" customFormat="false" ht="30" hidden="false" customHeight="true" outlineLevel="0" collapsed="false">
      <c r="A60" s="25"/>
      <c r="B60" s="25"/>
      <c r="C60" s="25"/>
      <c r="D60" s="25"/>
      <c r="E60" s="25"/>
      <c r="F60" s="25"/>
      <c r="G60" s="26"/>
      <c r="H60" s="26"/>
      <c r="I60" s="28"/>
      <c r="J60" s="28"/>
    </row>
    <row r="61" customFormat="false" ht="30" hidden="false" customHeight="true" outlineLevel="0" collapsed="false">
      <c r="A61" s="27"/>
      <c r="B61" s="27"/>
      <c r="C61" s="27"/>
      <c r="D61" s="27"/>
      <c r="E61" s="27"/>
      <c r="F61" s="27"/>
      <c r="G61" s="28"/>
      <c r="H61" s="28"/>
      <c r="I61" s="26"/>
      <c r="J61" s="26"/>
    </row>
    <row r="62" customFormat="false" ht="30" hidden="false" customHeight="true" outlineLevel="0" collapsed="false">
      <c r="A62" s="25"/>
      <c r="B62" s="25"/>
      <c r="C62" s="25"/>
      <c r="D62" s="25"/>
      <c r="E62" s="25"/>
      <c r="F62" s="25"/>
      <c r="G62" s="26"/>
      <c r="H62" s="26"/>
      <c r="I62" s="28"/>
      <c r="J62" s="28"/>
    </row>
    <row r="63" customFormat="false" ht="30" hidden="false" customHeight="true" outlineLevel="0" collapsed="false">
      <c r="A63" s="27"/>
      <c r="B63" s="27"/>
      <c r="C63" s="27"/>
      <c r="D63" s="27"/>
      <c r="E63" s="27"/>
      <c r="F63" s="27"/>
      <c r="G63" s="28"/>
      <c r="H63" s="28"/>
      <c r="I63" s="26"/>
      <c r="J63" s="26"/>
    </row>
    <row r="64" customFormat="false" ht="30" hidden="false" customHeight="true" outlineLevel="0" collapsed="false">
      <c r="A64" s="25"/>
      <c r="B64" s="25"/>
      <c r="C64" s="25"/>
      <c r="D64" s="25"/>
      <c r="E64" s="25"/>
      <c r="F64" s="25"/>
      <c r="G64" s="26"/>
      <c r="H64" s="26"/>
      <c r="I64" s="28"/>
      <c r="J64" s="28"/>
    </row>
    <row r="65" customFormat="false" ht="30" hidden="false" customHeight="true" outlineLevel="0" collapsed="false">
      <c r="A65" s="27"/>
      <c r="B65" s="27"/>
      <c r="C65" s="27"/>
      <c r="D65" s="27"/>
      <c r="E65" s="27"/>
      <c r="F65" s="27"/>
      <c r="G65" s="28"/>
      <c r="H65" s="28"/>
      <c r="I65" s="26"/>
      <c r="J65" s="26"/>
    </row>
    <row r="66" customFormat="false" ht="30" hidden="false" customHeight="true" outlineLevel="0" collapsed="false">
      <c r="A66" s="25"/>
      <c r="B66" s="25"/>
      <c r="C66" s="25"/>
      <c r="D66" s="25"/>
      <c r="E66" s="25"/>
      <c r="F66" s="25"/>
      <c r="G66" s="26"/>
      <c r="H66" s="26"/>
      <c r="I66" s="28"/>
      <c r="J66" s="28"/>
    </row>
    <row r="67" customFormat="false" ht="30" hidden="false" customHeight="true" outlineLevel="0" collapsed="false">
      <c r="I67" s="26"/>
      <c r="J67" s="26"/>
    </row>
  </sheetData>
  <mergeCells count="8">
    <mergeCell ref="A1:J1"/>
    <mergeCell ref="B3:C3"/>
    <mergeCell ref="E3:F3"/>
    <mergeCell ref="B4:C4"/>
    <mergeCell ref="E4:F4"/>
    <mergeCell ref="B5:C5"/>
    <mergeCell ref="E5:F5"/>
    <mergeCell ref="A6:J6"/>
  </mergeCells>
  <conditionalFormatting sqref="H8:H66">
    <cfRule type="cellIs" priority="2" operator="equal" aboveAverage="0" equalAverage="0" bottom="0" percent="0" rank="0" text="" dxfId="0">
      <formula>"APROBADA"</formula>
    </cfRule>
    <cfRule type="cellIs" priority="3" operator="equal" aboveAverage="0" equalAverage="0" bottom="0" percent="0" rank="0" text="" dxfId="1">
      <formula>"FALLIDA"</formula>
    </cfRule>
    <cfRule type="cellIs" priority="4" operator="equal" aboveAverage="0" equalAverage="0" bottom="0" percent="0" rank="0" text="" dxfId="2">
      <formula>"OBSERVACION"</formula>
    </cfRule>
    <cfRule type="cellIs" priority="5" operator="equal" aboveAverage="0" equalAverage="0" bottom="0" percent="0" rank="0" text="" dxfId="3">
      <formula>"BLOQUEADA"</formula>
    </cfRule>
  </conditionalFormatting>
  <dataValidations count="1">
    <dataValidation allowBlank="true" error="Elija: APROBADA, FALLIDA, BLOQUEADA u OBSERVACION." errorStyle="stop" errorTitle="Estado no valido" operator="between" showDropDown="false" showErrorMessage="false" showInputMessage="false" sqref="H8:H66" type="list">
      <formula1>"APROBADA,FALLIDA,BLOQUEADA,OBSERVACION"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7"/>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0" ySplit="7" topLeftCell="A8" activePane="bottomLeft" state="frozen"/>
      <selection pane="topLeft" activeCell="A1" activeCellId="0" sqref="A1"/>
      <selection pane="bottomLeft" activeCell="A8" activeCellId="0" sqref="A8"/>
    </sheetView>
  </sheetViews>
  <sheetFormatPr defaultColWidth="9.18359375" defaultRowHeight="14.25" zeroHeight="false" outlineLevelRow="0" outlineLevelCol="0"/>
  <cols>
    <col collapsed="false" customWidth="true" hidden="false" outlineLevel="0" max="1" min="1" style="15" width="8"/>
    <col collapsed="false" customWidth="true" hidden="false" outlineLevel="0" max="2" min="2" style="15" width="24"/>
    <col collapsed="false" customWidth="true" hidden="false" outlineLevel="0" max="3" min="3" style="15" width="11"/>
    <col collapsed="false" customWidth="true" hidden="false" outlineLevel="0" max="4" min="4" style="15" width="26"/>
    <col collapsed="false" customWidth="true" hidden="false" outlineLevel="0" max="5" min="5" style="15" width="10"/>
    <col collapsed="false" customWidth="true" hidden="false" outlineLevel="0" max="7" min="6" style="15" width="12"/>
    <col collapsed="false" customWidth="true" hidden="false" outlineLevel="0" max="8" min="8" style="15" width="13"/>
    <col collapsed="false" customWidth="true" hidden="false" outlineLevel="0" max="9" min="9" style="15" width="11"/>
    <col collapsed="false" customWidth="true" hidden="false" outlineLevel="0" max="10" min="10" style="15" width="14"/>
    <col collapsed="false" customWidth="true" hidden="false" outlineLevel="0" max="11" min="11" style="15" width="36"/>
  </cols>
  <sheetData>
    <row r="1" customFormat="false" ht="25.5" hidden="false" customHeight="true" outlineLevel="0" collapsed="false">
      <c r="A1" s="16" t="s">
        <v>244</v>
      </c>
      <c r="B1" s="16"/>
      <c r="C1" s="16"/>
      <c r="D1" s="16"/>
      <c r="E1" s="16"/>
      <c r="F1" s="16"/>
      <c r="G1" s="16"/>
      <c r="H1" s="16"/>
      <c r="I1" s="16"/>
      <c r="J1" s="16"/>
      <c r="K1" s="16"/>
    </row>
    <row r="3" customFormat="false" ht="14.25" hidden="false" customHeight="false" outlineLevel="0" collapsed="false">
      <c r="A3" s="17" t="s">
        <v>245</v>
      </c>
      <c r="B3" s="32" t="s">
        <v>246</v>
      </c>
      <c r="D3" s="17" t="s">
        <v>63</v>
      </c>
      <c r="E3" s="32" t="s">
        <v>247</v>
      </c>
    </row>
    <row r="4" customFormat="false" ht="14.25" hidden="false" customHeight="false" outlineLevel="0" collapsed="false">
      <c r="A4" s="17" t="s">
        <v>58</v>
      </c>
      <c r="B4" s="32" t="s">
        <v>248</v>
      </c>
      <c r="D4" s="17" t="s">
        <v>249</v>
      </c>
      <c r="E4" s="32"/>
    </row>
    <row r="5" customFormat="false" ht="14.25" hidden="false" customHeight="false" outlineLevel="0" collapsed="false">
      <c r="A5" s="17" t="s">
        <v>250</v>
      </c>
      <c r="B5" s="32" t="s">
        <v>251</v>
      </c>
      <c r="D5" s="17" t="s">
        <v>60</v>
      </c>
      <c r="E5" s="32" t="s">
        <v>61</v>
      </c>
    </row>
    <row r="6" customFormat="false" ht="25.5" hidden="false" customHeight="true" outlineLevel="0" collapsed="false">
      <c r="A6" s="19" t="s">
        <v>252</v>
      </c>
      <c r="B6" s="19"/>
      <c r="C6" s="19"/>
      <c r="D6" s="19"/>
      <c r="E6" s="19"/>
      <c r="F6" s="19"/>
      <c r="G6" s="19"/>
      <c r="H6" s="19"/>
      <c r="I6" s="19"/>
      <c r="J6" s="19"/>
      <c r="K6" s="19"/>
    </row>
    <row r="7" customFormat="false" ht="31.5" hidden="false" customHeight="true" outlineLevel="0" collapsed="false">
      <c r="A7" s="20" t="s">
        <v>68</v>
      </c>
      <c r="B7" s="20" t="s">
        <v>157</v>
      </c>
      <c r="C7" s="20" t="s">
        <v>253</v>
      </c>
      <c r="D7" s="20" t="s">
        <v>254</v>
      </c>
      <c r="E7" s="20" t="s">
        <v>255</v>
      </c>
      <c r="F7" s="20" t="s">
        <v>256</v>
      </c>
      <c r="G7" s="20" t="s">
        <v>257</v>
      </c>
      <c r="H7" s="20" t="s">
        <v>258</v>
      </c>
      <c r="I7" s="20" t="s">
        <v>259</v>
      </c>
      <c r="J7" s="20" t="s">
        <v>75</v>
      </c>
      <c r="K7" s="20" t="s">
        <v>260</v>
      </c>
    </row>
    <row r="8" customFormat="false" ht="30" hidden="false" customHeight="true" outlineLevel="0" collapsed="false">
      <c r="A8" s="21" t="s">
        <v>261</v>
      </c>
      <c r="B8" s="21" t="s">
        <v>262</v>
      </c>
      <c r="C8" s="21" t="n">
        <v>25</v>
      </c>
      <c r="D8" s="21" t="s">
        <v>263</v>
      </c>
      <c r="E8" s="21" t="s">
        <v>264</v>
      </c>
      <c r="F8" s="21" t="n">
        <v>800</v>
      </c>
      <c r="G8" s="22" t="n">
        <v>2591</v>
      </c>
      <c r="H8" s="33" t="n">
        <f aca="false">IF(OR(F8="",G8=""),"",IFERROR((G8-F8)/F8,""))</f>
        <v>2.23875</v>
      </c>
      <c r="I8" s="34" t="str">
        <f aca="false">IF(OR(F8="",G8=""),"",IF(E8="&lt;=",IF(G8&lt;=F8,"SI","NO"),IF(G8&gt;=F8,"SI","NO")))</f>
        <v>NO</v>
      </c>
      <c r="J8" s="21" t="s">
        <v>232</v>
      </c>
      <c r="K8" s="21" t="s">
        <v>265</v>
      </c>
    </row>
    <row r="9" customFormat="false" ht="39.8" hidden="false" customHeight="true" outlineLevel="0" collapsed="false">
      <c r="A9" s="23" t="s">
        <v>266</v>
      </c>
      <c r="B9" s="23" t="s">
        <v>267</v>
      </c>
      <c r="C9" s="23" t="n">
        <v>25</v>
      </c>
      <c r="D9" s="23" t="s">
        <v>268</v>
      </c>
      <c r="E9" s="23" t="s">
        <v>264</v>
      </c>
      <c r="F9" s="23" t="n">
        <v>1</v>
      </c>
      <c r="G9" s="24" t="n">
        <v>0</v>
      </c>
      <c r="H9" s="35" t="n">
        <f aca="false">IF(OR(F9="",G9=""),"",IFERROR((G9-F9)/F9,""))</f>
        <v>-1</v>
      </c>
      <c r="I9" s="36" t="str">
        <f aca="false">IF(OR(F9="",G9=""),"",IF(E9="&lt;=",IF(G9&lt;=F9,"SI","NO"),IF(G9&gt;=F9,"SI","NO")))</f>
        <v>SI</v>
      </c>
      <c r="J9" s="23" t="s">
        <v>85</v>
      </c>
      <c r="K9" s="23" t="s">
        <v>269</v>
      </c>
    </row>
    <row r="10" customFormat="false" ht="37.9" hidden="false" customHeight="true" outlineLevel="0" collapsed="false">
      <c r="A10" s="21" t="s">
        <v>270</v>
      </c>
      <c r="B10" s="21" t="s">
        <v>267</v>
      </c>
      <c r="C10" s="21" t="n">
        <v>10</v>
      </c>
      <c r="D10" s="21" t="s">
        <v>263</v>
      </c>
      <c r="E10" s="21" t="s">
        <v>264</v>
      </c>
      <c r="F10" s="21" t="n">
        <v>700</v>
      </c>
      <c r="G10" s="22" t="n">
        <v>1043.9</v>
      </c>
      <c r="H10" s="33" t="n">
        <f aca="false">IF(OR(F10="",G10=""),"",IFERROR((G10-F10)/F10,""))</f>
        <v>0.491285714285714</v>
      </c>
      <c r="I10" s="34" t="str">
        <f aca="false">IF(OR(F10="",G10=""),"",IF(E10="&lt;=",IF(G10&lt;=F10,"SI","NO"),IF(G10&gt;=F10,"SI","NO")))</f>
        <v>NO</v>
      </c>
      <c r="J10" s="21" t="s">
        <v>271</v>
      </c>
      <c r="K10" s="21" t="s">
        <v>272</v>
      </c>
    </row>
    <row r="11" customFormat="false" ht="36.05" hidden="false" customHeight="true" outlineLevel="0" collapsed="false">
      <c r="A11" s="23" t="s">
        <v>273</v>
      </c>
      <c r="B11" s="23" t="s">
        <v>267</v>
      </c>
      <c r="C11" s="23" t="n">
        <v>50</v>
      </c>
      <c r="D11" s="23" t="s">
        <v>263</v>
      </c>
      <c r="E11" s="23" t="s">
        <v>264</v>
      </c>
      <c r="F11" s="23" t="n">
        <v>1000</v>
      </c>
      <c r="G11" s="24" t="n">
        <v>8340.2</v>
      </c>
      <c r="H11" s="35" t="n">
        <f aca="false">IF(OR(F11="",G11=""),"",IFERROR((G11-F11)/F11,""))</f>
        <v>7.3402</v>
      </c>
      <c r="I11" s="36" t="str">
        <f aca="false">IF(OR(F11="",G11=""),"",IF(E11="&lt;=",IF(G11&lt;=F11,"SI","NO"),IF(G11&gt;=F11,"SI","NO")))</f>
        <v>NO</v>
      </c>
      <c r="J11" s="23" t="s">
        <v>271</v>
      </c>
      <c r="K11" s="23" t="s">
        <v>274</v>
      </c>
    </row>
    <row r="12" customFormat="false" ht="36.65" hidden="false" customHeight="true" outlineLevel="0" collapsed="false">
      <c r="A12" s="21" t="s">
        <v>275</v>
      </c>
      <c r="B12" s="21" t="s">
        <v>267</v>
      </c>
      <c r="C12" s="21" t="n">
        <v>100</v>
      </c>
      <c r="D12" s="21" t="s">
        <v>263</v>
      </c>
      <c r="E12" s="21" t="s">
        <v>264</v>
      </c>
      <c r="F12" s="21" t="n">
        <v>2500</v>
      </c>
      <c r="G12" s="22" t="n">
        <v>10001.1</v>
      </c>
      <c r="H12" s="33" t="n">
        <f aca="false">IF(OR(F12="",G12=""),"",IFERROR((G12-F12)/F12,""))</f>
        <v>3.00044</v>
      </c>
      <c r="I12" s="34" t="str">
        <f aca="false">IF(OR(F12="",G12=""),"",IF(E12="&lt;=",IF(G12&lt;=F12,"SI","NO"),IF(G12&gt;=F12,"SI","NO")))</f>
        <v>NO</v>
      </c>
      <c r="J12" s="21" t="s">
        <v>271</v>
      </c>
      <c r="K12" s="21" t="s">
        <v>276</v>
      </c>
    </row>
    <row r="13" customFormat="false" ht="37.9" hidden="false" customHeight="true" outlineLevel="0" collapsed="false">
      <c r="A13" s="23" t="s">
        <v>277</v>
      </c>
      <c r="B13" s="23" t="s">
        <v>267</v>
      </c>
      <c r="C13" s="23" t="n">
        <v>100</v>
      </c>
      <c r="D13" s="23" t="s">
        <v>268</v>
      </c>
      <c r="E13" s="23" t="s">
        <v>264</v>
      </c>
      <c r="F13" s="23" t="n">
        <v>1</v>
      </c>
      <c r="G13" s="24" t="n">
        <v>26.8</v>
      </c>
      <c r="H13" s="35" t="n">
        <f aca="false">IF(OR(F13="",G13=""),"",IFERROR((G13-F13)/F13,""))</f>
        <v>25.8</v>
      </c>
      <c r="I13" s="36" t="str">
        <f aca="false">IF(OR(F13="",G13=""),"",IF(E13="&lt;=",IF(G13&lt;=F13,"SI","NO"),IF(G13&gt;=F13,"SI","NO")))</f>
        <v>NO</v>
      </c>
      <c r="J13" s="23" t="s">
        <v>271</v>
      </c>
      <c r="K13" s="23" t="s">
        <v>278</v>
      </c>
    </row>
    <row r="14" customFormat="false" ht="30" hidden="false" customHeight="true" outlineLevel="0" collapsed="false">
      <c r="A14" s="21" t="s">
        <v>279</v>
      </c>
      <c r="B14" s="21" t="s">
        <v>267</v>
      </c>
      <c r="C14" s="21" t="n">
        <v>250</v>
      </c>
      <c r="D14" s="21" t="s">
        <v>268</v>
      </c>
      <c r="E14" s="21" t="s">
        <v>264</v>
      </c>
      <c r="F14" s="21" t="n">
        <v>800</v>
      </c>
      <c r="G14" s="22" t="n">
        <v>60</v>
      </c>
      <c r="H14" s="33" t="n">
        <f aca="false">IF(OR(F14="",G14=""),"",IFERROR((G14-F14)/F14,""))</f>
        <v>-0.925</v>
      </c>
      <c r="I14" s="34" t="str">
        <f aca="false">IF(OR(F14="",G14=""),"",IF(E14="&lt;=",IF(G14&lt;=F14,"SI","NO"),IF(G14&gt;=F14,"SI","NO")))</f>
        <v>SI</v>
      </c>
      <c r="J14" s="21" t="s">
        <v>271</v>
      </c>
      <c r="K14" s="21" t="s">
        <v>280</v>
      </c>
    </row>
    <row r="15" customFormat="false" ht="30" hidden="false" customHeight="true" outlineLevel="0" collapsed="false">
      <c r="A15" s="23" t="s">
        <v>281</v>
      </c>
      <c r="B15" s="23" t="s">
        <v>267</v>
      </c>
      <c r="C15" s="23" t="n">
        <v>500</v>
      </c>
      <c r="D15" s="23" t="s">
        <v>268</v>
      </c>
      <c r="E15" s="23" t="s">
        <v>264</v>
      </c>
      <c r="F15" s="23" t="n">
        <v>1200</v>
      </c>
      <c r="G15" s="24" t="n">
        <v>93.1</v>
      </c>
      <c r="H15" s="35" t="n">
        <f aca="false">IF(OR(F15="",G15=""),"",IFERROR((G15-F15)/F15,""))</f>
        <v>-0.922416666666667</v>
      </c>
      <c r="I15" s="36" t="str">
        <f aca="false">IF(OR(F15="",G15=""),"",IF(E15="&lt;=",IF(G15&lt;=F15,"SI","NO"),IF(G15&gt;=F15,"SI","NO")))</f>
        <v>SI</v>
      </c>
      <c r="J15" s="23" t="s">
        <v>271</v>
      </c>
      <c r="K15" s="23" t="s">
        <v>282</v>
      </c>
    </row>
    <row r="16" customFormat="false" ht="30" hidden="false" customHeight="true" outlineLevel="0" collapsed="false">
      <c r="A16" s="21" t="s">
        <v>283</v>
      </c>
      <c r="B16" s="21" t="s">
        <v>267</v>
      </c>
      <c r="C16" s="21" t="n">
        <v>1000</v>
      </c>
      <c r="D16" s="21" t="s">
        <v>268</v>
      </c>
      <c r="E16" s="21" t="s">
        <v>264</v>
      </c>
      <c r="F16" s="21" t="n">
        <v>3000</v>
      </c>
      <c r="G16" s="22" t="n">
        <v>100</v>
      </c>
      <c r="H16" s="33" t="n">
        <f aca="false">IF(OR(F16="",G16=""),"",IFERROR((G16-F16)/F16,""))</f>
        <v>-0.966666666666667</v>
      </c>
      <c r="I16" s="34" t="str">
        <f aca="false">IF(OR(F16="",G16=""),"",IF(E16="&lt;=",IF(G16&lt;=F16,"SI","NO"),IF(G16&gt;=F16,"SI","NO")))</f>
        <v>SI</v>
      </c>
      <c r="J16" s="21" t="s">
        <v>271</v>
      </c>
      <c r="K16" s="21" t="s">
        <v>284</v>
      </c>
    </row>
    <row r="17" customFormat="false" ht="40.4" hidden="false" customHeight="true" outlineLevel="0" collapsed="false">
      <c r="A17" s="23" t="s">
        <v>285</v>
      </c>
      <c r="B17" s="23" t="s">
        <v>286</v>
      </c>
      <c r="C17" s="23" t="n">
        <v>25</v>
      </c>
      <c r="D17" s="23" t="s">
        <v>287</v>
      </c>
      <c r="E17" s="23" t="s">
        <v>288</v>
      </c>
      <c r="F17" s="23" t="n">
        <v>60</v>
      </c>
      <c r="G17" s="24" t="n">
        <v>11.8</v>
      </c>
      <c r="H17" s="35" t="n">
        <f aca="false">IF(OR(F17="",G17=""),"",IFERROR((G17-F17)/F17,""))</f>
        <v>-0.803333333333333</v>
      </c>
      <c r="I17" s="36" t="str">
        <f aca="false">IF(OR(F17="",G17=""),"",IF(E17="&lt;=",IF(G17&lt;=F17,"SI","NO"),IF(G17&gt;=F17,"SI","NO")))</f>
        <v>NO</v>
      </c>
      <c r="J17" s="23" t="s">
        <v>232</v>
      </c>
      <c r="K17" s="23" t="s">
        <v>289</v>
      </c>
    </row>
    <row r="18" customFormat="false" ht="59.7" hidden="false" customHeight="true" outlineLevel="0" collapsed="false">
      <c r="A18" s="25"/>
      <c r="B18" s="25"/>
      <c r="C18" s="25"/>
      <c r="D18" s="25"/>
      <c r="E18" s="25"/>
      <c r="F18" s="25"/>
      <c r="G18" s="26"/>
      <c r="H18" s="33" t="str">
        <f aca="false">IF(OR(F18="",G18=""),"",IFERROR((G18-F18)/F18,""))</f>
        <v/>
      </c>
      <c r="I18" s="34" t="str">
        <f aca="false">IF(OR(F18="",G18=""),"",IF(E18="&lt;=",IF(G18&lt;=F18,"SI","NO"),IF(G18&gt;=F18,"SI","NO")))</f>
        <v/>
      </c>
      <c r="J18" s="25"/>
      <c r="K18" s="25"/>
    </row>
    <row r="19" customFormat="false" ht="30" hidden="false" customHeight="true" outlineLevel="0" collapsed="false">
      <c r="A19" s="27"/>
      <c r="B19" s="27"/>
      <c r="C19" s="27"/>
      <c r="D19" s="27"/>
      <c r="E19" s="27"/>
      <c r="F19" s="27"/>
      <c r="G19" s="28"/>
      <c r="H19" s="35" t="str">
        <f aca="false">IF(OR(F19="",G19=""),"",IFERROR((G19-F19)/F19,""))</f>
        <v/>
      </c>
      <c r="I19" s="36" t="str">
        <f aca="false">IF(OR(F19="",G19=""),"",IF(E19="&lt;=",IF(G19&lt;=F19,"SI","NO"),IF(G19&gt;=F19,"SI","NO")))</f>
        <v/>
      </c>
      <c r="J19" s="27"/>
      <c r="K19" s="27"/>
    </row>
    <row r="20" customFormat="false" ht="30" hidden="false" customHeight="true" outlineLevel="0" collapsed="false">
      <c r="A20" s="25"/>
      <c r="B20" s="25"/>
      <c r="C20" s="25"/>
      <c r="D20" s="25"/>
      <c r="E20" s="25"/>
      <c r="F20" s="25"/>
      <c r="G20" s="26"/>
      <c r="H20" s="33" t="str">
        <f aca="false">IF(OR(F20="",G20=""),"",IFERROR((G20-F20)/F20,""))</f>
        <v/>
      </c>
      <c r="I20" s="34" t="str">
        <f aca="false">IF(OR(F20="",G20=""),"",IF(E20="&lt;=",IF(G20&lt;=F20,"SI","NO"),IF(G20&gt;=F20,"SI","NO")))</f>
        <v/>
      </c>
      <c r="J20" s="25"/>
      <c r="K20" s="25"/>
    </row>
    <row r="21" customFormat="false" ht="30" hidden="false" customHeight="true" outlineLevel="0" collapsed="false">
      <c r="A21" s="27"/>
      <c r="B21" s="27"/>
      <c r="C21" s="27"/>
      <c r="D21" s="27"/>
      <c r="E21" s="27"/>
      <c r="F21" s="27"/>
      <c r="G21" s="28"/>
      <c r="H21" s="35" t="str">
        <f aca="false">IF(OR(F21="",G21=""),"",IFERROR((G21-F21)/F21,""))</f>
        <v/>
      </c>
      <c r="I21" s="36" t="str">
        <f aca="false">IF(OR(F21="",G21=""),"",IF(E21="&lt;=",IF(G21&lt;=F21,"SI","NO"),IF(G21&gt;=F21,"SI","NO")))</f>
        <v/>
      </c>
      <c r="J21" s="27"/>
      <c r="K21" s="27"/>
    </row>
    <row r="22" customFormat="false" ht="30" hidden="false" customHeight="true" outlineLevel="0" collapsed="false">
      <c r="A22" s="25"/>
      <c r="B22" s="25"/>
      <c r="C22" s="25"/>
      <c r="D22" s="25"/>
      <c r="E22" s="25"/>
      <c r="F22" s="25"/>
      <c r="G22" s="26"/>
      <c r="H22" s="33" t="str">
        <f aca="false">IF(OR(F22="",G22=""),"",IFERROR((G22-F22)/F22,""))</f>
        <v/>
      </c>
      <c r="I22" s="34" t="str">
        <f aca="false">IF(OR(F22="",G22=""),"",IF(E22="&lt;=",IF(G22&lt;=F22,"SI","NO"),IF(G22&gt;=F22,"SI","NO")))</f>
        <v/>
      </c>
      <c r="J22" s="25"/>
      <c r="K22" s="25"/>
    </row>
    <row r="23" customFormat="false" ht="30" hidden="false" customHeight="true" outlineLevel="0" collapsed="false">
      <c r="A23" s="27"/>
      <c r="B23" s="27"/>
      <c r="C23" s="27"/>
      <c r="D23" s="27"/>
      <c r="E23" s="27"/>
      <c r="F23" s="27"/>
      <c r="G23" s="28"/>
      <c r="H23" s="35" t="str">
        <f aca="false">IF(OR(F23="",G23=""),"",IFERROR((G23-F23)/F23,""))</f>
        <v/>
      </c>
      <c r="I23" s="36" t="str">
        <f aca="false">IF(OR(F23="",G23=""),"",IF(E23="&lt;=",IF(G23&lt;=F23,"SI","NO"),IF(G23&gt;=F23,"SI","NO")))</f>
        <v/>
      </c>
      <c r="J23" s="27"/>
      <c r="K23" s="27"/>
    </row>
    <row r="24" customFormat="false" ht="30" hidden="false" customHeight="true" outlineLevel="0" collapsed="false">
      <c r="A24" s="25"/>
      <c r="B24" s="25"/>
      <c r="C24" s="25"/>
      <c r="D24" s="25"/>
      <c r="E24" s="25"/>
      <c r="F24" s="25"/>
      <c r="G24" s="26"/>
      <c r="H24" s="33" t="str">
        <f aca="false">IF(OR(F24="",G24=""),"",IFERROR((G24-F24)/F24,""))</f>
        <v/>
      </c>
      <c r="I24" s="34" t="str">
        <f aca="false">IF(OR(F24="",G24=""),"",IF(E24="&lt;=",IF(G24&lt;=F24,"SI","NO"),IF(G24&gt;=F24,"SI","NO")))</f>
        <v/>
      </c>
      <c r="J24" s="25"/>
      <c r="K24" s="25"/>
    </row>
    <row r="25" customFormat="false" ht="30" hidden="false" customHeight="true" outlineLevel="0" collapsed="false">
      <c r="A25" s="27"/>
      <c r="B25" s="27"/>
      <c r="C25" s="27"/>
      <c r="D25" s="27"/>
      <c r="E25" s="27"/>
      <c r="F25" s="27"/>
      <c r="G25" s="28"/>
      <c r="H25" s="35" t="str">
        <f aca="false">IF(OR(F25="",G25=""),"",IFERROR((G25-F25)/F25,""))</f>
        <v/>
      </c>
      <c r="I25" s="36" t="str">
        <f aca="false">IF(OR(F25="",G25=""),"",IF(E25="&lt;=",IF(G25&lt;=F25,"SI","NO"),IF(G25&gt;=F25,"SI","NO")))</f>
        <v/>
      </c>
      <c r="J25" s="27"/>
      <c r="K25" s="27"/>
    </row>
    <row r="26" customFormat="false" ht="30" hidden="false" customHeight="true" outlineLevel="0" collapsed="false">
      <c r="A26" s="25"/>
      <c r="B26" s="25"/>
      <c r="C26" s="25"/>
      <c r="D26" s="25"/>
      <c r="E26" s="25"/>
      <c r="F26" s="25"/>
      <c r="G26" s="26"/>
      <c r="H26" s="33" t="str">
        <f aca="false">IF(OR(F26="",G26=""),"",IFERROR((G26-F26)/F26,""))</f>
        <v/>
      </c>
      <c r="I26" s="34" t="str">
        <f aca="false">IF(OR(F26="",G26=""),"",IF(E26="&lt;=",IF(G26&lt;=F26,"SI","NO"),IF(G26&gt;=F26,"SI","NO")))</f>
        <v/>
      </c>
      <c r="J26" s="25"/>
      <c r="K26" s="25"/>
    </row>
    <row r="27" customFormat="false" ht="30" hidden="false" customHeight="true" outlineLevel="0" collapsed="false">
      <c r="A27" s="27"/>
      <c r="B27" s="27"/>
      <c r="C27" s="27"/>
      <c r="D27" s="27"/>
      <c r="E27" s="27"/>
      <c r="F27" s="27"/>
      <c r="G27" s="28"/>
      <c r="H27" s="35" t="str">
        <f aca="false">IF(OR(F27="",G27=""),"",IFERROR((G27-F27)/F27,""))</f>
        <v/>
      </c>
      <c r="I27" s="36" t="str">
        <f aca="false">IF(OR(F27="",G27=""),"",IF(E27="&lt;=",IF(G27&lt;=F27,"SI","NO"),IF(G27&gt;=F27,"SI","NO")))</f>
        <v/>
      </c>
      <c r="J27" s="27"/>
      <c r="K27" s="27"/>
    </row>
    <row r="28" customFormat="false" ht="30" hidden="false" customHeight="true" outlineLevel="0" collapsed="false">
      <c r="A28" s="25"/>
      <c r="B28" s="25"/>
      <c r="C28" s="25"/>
      <c r="D28" s="25"/>
      <c r="E28" s="25"/>
      <c r="F28" s="25"/>
      <c r="G28" s="26"/>
      <c r="H28" s="33" t="str">
        <f aca="false">IF(OR(F28="",G28=""),"",IFERROR((G28-F28)/F28,""))</f>
        <v/>
      </c>
      <c r="I28" s="34" t="str">
        <f aca="false">IF(OR(F28="",G28=""),"",IF(E28="&lt;=",IF(G28&lt;=F28,"SI","NO"),IF(G28&gt;=F28,"SI","NO")))</f>
        <v/>
      </c>
      <c r="J28" s="25"/>
      <c r="K28" s="25"/>
    </row>
    <row r="29" customFormat="false" ht="30" hidden="false" customHeight="true" outlineLevel="0" collapsed="false">
      <c r="A29" s="27"/>
      <c r="B29" s="27"/>
      <c r="C29" s="27"/>
      <c r="D29" s="27"/>
      <c r="E29" s="27"/>
      <c r="F29" s="27"/>
      <c r="G29" s="28"/>
      <c r="H29" s="35" t="str">
        <f aca="false">IF(OR(F29="",G29=""),"",IFERROR((G29-F29)/F29,""))</f>
        <v/>
      </c>
      <c r="I29" s="36" t="str">
        <f aca="false">IF(OR(F29="",G29=""),"",IF(E29="&lt;=",IF(G29&lt;=F29,"SI","NO"),IF(G29&gt;=F29,"SI","NO")))</f>
        <v/>
      </c>
      <c r="J29" s="27"/>
      <c r="K29" s="27"/>
    </row>
    <row r="30" customFormat="false" ht="30" hidden="false" customHeight="true" outlineLevel="0" collapsed="false">
      <c r="A30" s="25"/>
      <c r="B30" s="25"/>
      <c r="C30" s="25"/>
      <c r="D30" s="25"/>
      <c r="E30" s="25"/>
      <c r="F30" s="25"/>
      <c r="G30" s="26"/>
      <c r="H30" s="33" t="str">
        <f aca="false">IF(OR(F30="",G30=""),"",IFERROR((G30-F30)/F30,""))</f>
        <v/>
      </c>
      <c r="I30" s="34" t="str">
        <f aca="false">IF(OR(F30="",G30=""),"",IF(E30="&lt;=",IF(G30&lt;=F30,"SI","NO"),IF(G30&gt;=F30,"SI","NO")))</f>
        <v/>
      </c>
      <c r="J30" s="25"/>
      <c r="K30" s="25"/>
    </row>
    <row r="31" customFormat="false" ht="30" hidden="false" customHeight="true" outlineLevel="0" collapsed="false">
      <c r="A31" s="27"/>
      <c r="B31" s="27"/>
      <c r="C31" s="27"/>
      <c r="D31" s="27"/>
      <c r="E31" s="27"/>
      <c r="F31" s="27"/>
      <c r="G31" s="28"/>
      <c r="H31" s="35" t="str">
        <f aca="false">IF(OR(F31="",G31=""),"",IFERROR((G31-F31)/F31,""))</f>
        <v/>
      </c>
      <c r="I31" s="36" t="str">
        <f aca="false">IF(OR(F31="",G31=""),"",IF(E31="&lt;=",IF(G31&lt;=F31,"SI","NO"),IF(G31&gt;=F31,"SI","NO")))</f>
        <v/>
      </c>
      <c r="J31" s="27"/>
      <c r="K31" s="27"/>
    </row>
    <row r="32" customFormat="false" ht="30" hidden="false" customHeight="true" outlineLevel="0" collapsed="false">
      <c r="A32" s="25"/>
      <c r="B32" s="25"/>
      <c r="C32" s="25"/>
      <c r="D32" s="25"/>
      <c r="E32" s="25"/>
      <c r="F32" s="25"/>
      <c r="G32" s="26"/>
      <c r="H32" s="33" t="str">
        <f aca="false">IF(OR(F32="",G32=""),"",IFERROR((G32-F32)/F32,""))</f>
        <v/>
      </c>
      <c r="I32" s="34" t="str">
        <f aca="false">IF(OR(F32="",G32=""),"",IF(E32="&lt;=",IF(G32&lt;=F32,"SI","NO"),IF(G32&gt;=F32,"SI","NO")))</f>
        <v/>
      </c>
      <c r="J32" s="25"/>
      <c r="K32" s="25"/>
    </row>
    <row r="33" customFormat="false" ht="30" hidden="false" customHeight="true" outlineLevel="0" collapsed="false">
      <c r="A33" s="27"/>
      <c r="B33" s="27"/>
      <c r="C33" s="27"/>
      <c r="D33" s="27"/>
      <c r="E33" s="27"/>
      <c r="F33" s="27"/>
      <c r="G33" s="28"/>
      <c r="H33" s="35" t="str">
        <f aca="false">IF(OR(F33="",G33=""),"",IFERROR((G33-F33)/F33,""))</f>
        <v/>
      </c>
      <c r="I33" s="36" t="str">
        <f aca="false">IF(OR(F33="",G33=""),"",IF(E33="&lt;=",IF(G33&lt;=F33,"SI","NO"),IF(G33&gt;=F33,"SI","NO")))</f>
        <v/>
      </c>
      <c r="J33" s="27"/>
      <c r="K33" s="27"/>
    </row>
    <row r="34" customFormat="false" ht="30" hidden="false" customHeight="true" outlineLevel="0" collapsed="false">
      <c r="A34" s="25"/>
      <c r="B34" s="25"/>
      <c r="C34" s="25"/>
      <c r="D34" s="25"/>
      <c r="E34" s="25"/>
      <c r="F34" s="25"/>
      <c r="G34" s="26"/>
      <c r="H34" s="33" t="str">
        <f aca="false">IF(OR(F34="",G34=""),"",IFERROR((G34-F34)/F34,""))</f>
        <v/>
      </c>
      <c r="I34" s="34" t="str">
        <f aca="false">IF(OR(F34="",G34=""),"",IF(E34="&lt;=",IF(G34&lt;=F34,"SI","NO"),IF(G34&gt;=F34,"SI","NO")))</f>
        <v/>
      </c>
      <c r="J34" s="25"/>
      <c r="K34" s="25"/>
    </row>
    <row r="35" customFormat="false" ht="30" hidden="false" customHeight="true" outlineLevel="0" collapsed="false">
      <c r="A35" s="27"/>
      <c r="B35" s="27"/>
      <c r="C35" s="27"/>
      <c r="D35" s="27"/>
      <c r="E35" s="27"/>
      <c r="F35" s="27"/>
      <c r="G35" s="28"/>
      <c r="H35" s="35" t="str">
        <f aca="false">IF(OR(F35="",G35=""),"",IFERROR((G35-F35)/F35,""))</f>
        <v/>
      </c>
      <c r="I35" s="36" t="str">
        <f aca="false">IF(OR(F35="",G35=""),"",IF(E35="&lt;=",IF(G35&lt;=F35,"SI","NO"),IF(G35&gt;=F35,"SI","NO")))</f>
        <v/>
      </c>
      <c r="J35" s="27"/>
      <c r="K35" s="27"/>
    </row>
    <row r="36" customFormat="false" ht="30" hidden="false" customHeight="true" outlineLevel="0" collapsed="false">
      <c r="A36" s="25"/>
      <c r="B36" s="25"/>
      <c r="C36" s="25"/>
      <c r="D36" s="25"/>
      <c r="E36" s="25"/>
      <c r="F36" s="25"/>
      <c r="G36" s="26"/>
      <c r="H36" s="33" t="str">
        <f aca="false">IF(OR(F36="",G36=""),"",IFERROR((G36-F36)/F36,""))</f>
        <v/>
      </c>
      <c r="I36" s="34" t="str">
        <f aca="false">IF(OR(F36="",G36=""),"",IF(E36="&lt;=",IF(G36&lt;=F36,"SI","NO"),IF(G36&gt;=F36,"SI","NO")))</f>
        <v/>
      </c>
      <c r="J36" s="25"/>
      <c r="K36" s="25"/>
    </row>
    <row r="37" customFormat="false" ht="30" hidden="false" customHeight="true" outlineLevel="0" collapsed="false">
      <c r="A37" s="27"/>
      <c r="B37" s="27"/>
      <c r="C37" s="27"/>
      <c r="D37" s="27"/>
      <c r="E37" s="27"/>
      <c r="F37" s="27"/>
      <c r="G37" s="28"/>
      <c r="H37" s="35" t="str">
        <f aca="false">IF(OR(F37="",G37=""),"",IFERROR((G37-F37)/F37,""))</f>
        <v/>
      </c>
      <c r="I37" s="36" t="str">
        <f aca="false">IF(OR(F37="",G37=""),"",IF(E37="&lt;=",IF(G37&lt;=F37,"SI","NO"),IF(G37&gt;=F37,"SI","NO")))</f>
        <v/>
      </c>
      <c r="J37" s="27"/>
      <c r="K37" s="27"/>
    </row>
    <row r="38" customFormat="false" ht="30" hidden="false" customHeight="true" outlineLevel="0" collapsed="false">
      <c r="A38" s="25"/>
      <c r="B38" s="25"/>
      <c r="C38" s="25"/>
      <c r="D38" s="25"/>
      <c r="E38" s="25"/>
      <c r="F38" s="25"/>
      <c r="G38" s="26"/>
      <c r="H38" s="33" t="str">
        <f aca="false">IF(OR(F38="",G38=""),"",IFERROR((G38-F38)/F38,""))</f>
        <v/>
      </c>
      <c r="I38" s="34" t="str">
        <f aca="false">IF(OR(F38="",G38=""),"",IF(E38="&lt;=",IF(G38&lt;=F38,"SI","NO"),IF(G38&gt;=F38,"SI","NO")))</f>
        <v/>
      </c>
      <c r="J38" s="25"/>
      <c r="K38" s="25"/>
    </row>
    <row r="39" customFormat="false" ht="30" hidden="false" customHeight="true" outlineLevel="0" collapsed="false">
      <c r="A39" s="27"/>
      <c r="B39" s="27"/>
      <c r="C39" s="27"/>
      <c r="D39" s="27"/>
      <c r="E39" s="27"/>
      <c r="F39" s="27"/>
      <c r="G39" s="28"/>
      <c r="H39" s="35" t="str">
        <f aca="false">IF(OR(F39="",G39=""),"",IFERROR((G39-F39)/F39,""))</f>
        <v/>
      </c>
      <c r="I39" s="36" t="str">
        <f aca="false">IF(OR(F39="",G39=""),"",IF(E39="&lt;=",IF(G39&lt;=F39,"SI","NO"),IF(G39&gt;=F39,"SI","NO")))</f>
        <v/>
      </c>
      <c r="J39" s="27"/>
      <c r="K39" s="27"/>
    </row>
    <row r="40" customFormat="false" ht="30" hidden="false" customHeight="true" outlineLevel="0" collapsed="false">
      <c r="A40" s="25"/>
      <c r="B40" s="25"/>
      <c r="C40" s="25"/>
      <c r="D40" s="25"/>
      <c r="E40" s="25"/>
      <c r="F40" s="25"/>
      <c r="G40" s="26"/>
      <c r="H40" s="33" t="str">
        <f aca="false">IF(OR(F40="",G40=""),"",IFERROR((G40-F40)/F40,""))</f>
        <v/>
      </c>
      <c r="I40" s="34" t="str">
        <f aca="false">IF(OR(F40="",G40=""),"",IF(E40="&lt;=",IF(G40&lt;=F40,"SI","NO"),IF(G40&gt;=F40,"SI","NO")))</f>
        <v/>
      </c>
      <c r="J40" s="25"/>
      <c r="K40" s="25"/>
    </row>
    <row r="41" customFormat="false" ht="30" hidden="false" customHeight="true" outlineLevel="0" collapsed="false">
      <c r="A41" s="27"/>
      <c r="B41" s="27"/>
      <c r="C41" s="27"/>
      <c r="D41" s="27"/>
      <c r="E41" s="27"/>
      <c r="F41" s="27"/>
      <c r="G41" s="28"/>
      <c r="H41" s="35" t="str">
        <f aca="false">IF(OR(F41="",G41=""),"",IFERROR((G41-F41)/F41,""))</f>
        <v/>
      </c>
      <c r="I41" s="36" t="str">
        <f aca="false">IF(OR(F41="",G41=""),"",IF(E41="&lt;=",IF(G41&lt;=F41,"SI","NO"),IF(G41&gt;=F41,"SI","NO")))</f>
        <v/>
      </c>
      <c r="J41" s="27"/>
      <c r="K41" s="27"/>
    </row>
    <row r="42" customFormat="false" ht="30" hidden="false" customHeight="true" outlineLevel="0" collapsed="false">
      <c r="A42" s="25"/>
      <c r="B42" s="25"/>
      <c r="C42" s="25"/>
      <c r="D42" s="25"/>
      <c r="E42" s="25"/>
      <c r="F42" s="25"/>
      <c r="G42" s="26"/>
      <c r="H42" s="33" t="str">
        <f aca="false">IF(OR(F42="",G42=""),"",IFERROR((G42-F42)/F42,""))</f>
        <v/>
      </c>
      <c r="I42" s="34" t="str">
        <f aca="false">IF(OR(F42="",G42=""),"",IF(E42="&lt;=",IF(G42&lt;=F42,"SI","NO"),IF(G42&gt;=F42,"SI","NO")))</f>
        <v/>
      </c>
      <c r="J42" s="25"/>
      <c r="K42" s="25"/>
    </row>
    <row r="43" customFormat="false" ht="30" hidden="false" customHeight="true" outlineLevel="0" collapsed="false">
      <c r="A43" s="27"/>
      <c r="B43" s="27"/>
      <c r="C43" s="27"/>
      <c r="D43" s="27"/>
      <c r="E43" s="27"/>
      <c r="F43" s="27"/>
      <c r="G43" s="28"/>
      <c r="H43" s="35" t="str">
        <f aca="false">IF(OR(F43="",G43=""),"",IFERROR((G43-F43)/F43,""))</f>
        <v/>
      </c>
      <c r="I43" s="36" t="str">
        <f aca="false">IF(OR(F43="",G43=""),"",IF(E43="&lt;=",IF(G43&lt;=F43,"SI","NO"),IF(G43&gt;=F43,"SI","NO")))</f>
        <v/>
      </c>
      <c r="J43" s="27"/>
      <c r="K43" s="27"/>
    </row>
    <row r="44" customFormat="false" ht="30" hidden="false" customHeight="true" outlineLevel="0" collapsed="false">
      <c r="A44" s="25"/>
      <c r="B44" s="25"/>
      <c r="C44" s="25"/>
      <c r="D44" s="25"/>
      <c r="E44" s="25"/>
      <c r="F44" s="25"/>
      <c r="G44" s="26"/>
      <c r="H44" s="33" t="str">
        <f aca="false">IF(OR(F44="",G44=""),"",IFERROR((G44-F44)/F44,""))</f>
        <v/>
      </c>
      <c r="I44" s="34" t="str">
        <f aca="false">IF(OR(F44="",G44=""),"",IF(E44="&lt;=",IF(G44&lt;=F44,"SI","NO"),IF(G44&gt;=F44,"SI","NO")))</f>
        <v/>
      </c>
      <c r="J44" s="25"/>
      <c r="K44" s="25"/>
    </row>
    <row r="45" customFormat="false" ht="30" hidden="false" customHeight="true" outlineLevel="0" collapsed="false">
      <c r="A45" s="27"/>
      <c r="B45" s="27"/>
      <c r="C45" s="27"/>
      <c r="D45" s="27"/>
      <c r="E45" s="27"/>
      <c r="F45" s="27"/>
      <c r="G45" s="28"/>
      <c r="H45" s="35" t="str">
        <f aca="false">IF(OR(F45="",G45=""),"",IFERROR((G45-F45)/F45,""))</f>
        <v/>
      </c>
      <c r="I45" s="36" t="str">
        <f aca="false">IF(OR(F45="",G45=""),"",IF(E45="&lt;=",IF(G45&lt;=F45,"SI","NO"),IF(G45&gt;=F45,"SI","NO")))</f>
        <v/>
      </c>
      <c r="J45" s="27"/>
      <c r="K45" s="27"/>
    </row>
    <row r="46" customFormat="false" ht="30" hidden="false" customHeight="true" outlineLevel="0" collapsed="false">
      <c r="A46" s="25"/>
      <c r="B46" s="25"/>
      <c r="C46" s="25"/>
      <c r="D46" s="25"/>
      <c r="E46" s="25"/>
      <c r="F46" s="25"/>
      <c r="G46" s="26"/>
      <c r="H46" s="33" t="str">
        <f aca="false">IF(OR(F46="",G46=""),"",IFERROR((G46-F46)/F46,""))</f>
        <v/>
      </c>
      <c r="I46" s="34" t="str">
        <f aca="false">IF(OR(F46="",G46=""),"",IF(E46="&lt;=",IF(G46&lt;=F46,"SI","NO"),IF(G46&gt;=F46,"SI","NO")))</f>
        <v/>
      </c>
      <c r="J46" s="25"/>
      <c r="K46" s="25"/>
    </row>
    <row r="47" customFormat="false" ht="30" hidden="false" customHeight="true" outlineLevel="0" collapsed="false">
      <c r="A47" s="27"/>
      <c r="B47" s="27"/>
      <c r="C47" s="27"/>
      <c r="D47" s="27"/>
      <c r="E47" s="27"/>
      <c r="F47" s="27"/>
      <c r="G47" s="28"/>
      <c r="H47" s="35" t="str">
        <f aca="false">IF(OR(F47="",G47=""),"",IFERROR((G47-F47)/F47,""))</f>
        <v/>
      </c>
      <c r="I47" s="36" t="str">
        <f aca="false">IF(OR(F47="",G47=""),"",IF(E47="&lt;=",IF(G47&lt;=F47,"SI","NO"),IF(G47&gt;=F47,"SI","NO")))</f>
        <v/>
      </c>
      <c r="J47" s="27"/>
      <c r="K47" s="27"/>
    </row>
    <row r="48" customFormat="false" ht="30" hidden="false" customHeight="true" outlineLevel="0" collapsed="false">
      <c r="A48" s="25"/>
      <c r="B48" s="25"/>
      <c r="C48" s="25"/>
      <c r="D48" s="25"/>
      <c r="E48" s="25"/>
      <c r="F48" s="25"/>
      <c r="G48" s="26"/>
      <c r="H48" s="33" t="str">
        <f aca="false">IF(OR(F48="",G48=""),"",IFERROR((G48-F48)/F48,""))</f>
        <v/>
      </c>
      <c r="I48" s="34" t="str">
        <f aca="false">IF(OR(F48="",G48=""),"",IF(E48="&lt;=",IF(G48&lt;=F48,"SI","NO"),IF(G48&gt;=F48,"SI","NO")))</f>
        <v/>
      </c>
      <c r="J48" s="25"/>
      <c r="K48" s="25"/>
    </row>
    <row r="49" customFormat="false" ht="30" hidden="false" customHeight="true" outlineLevel="0" collapsed="false">
      <c r="A49" s="27"/>
      <c r="B49" s="27"/>
      <c r="C49" s="27"/>
      <c r="D49" s="27"/>
      <c r="E49" s="27"/>
      <c r="F49" s="27"/>
      <c r="G49" s="28"/>
      <c r="H49" s="35" t="str">
        <f aca="false">IF(OR(F49="",G49=""),"",IFERROR((G49-F49)/F49,""))</f>
        <v/>
      </c>
      <c r="I49" s="36" t="str">
        <f aca="false">IF(OR(F49="",G49=""),"",IF(E49="&lt;=",IF(G49&lt;=F49,"SI","NO"),IF(G49&gt;=F49,"SI","NO")))</f>
        <v/>
      </c>
      <c r="J49" s="27"/>
      <c r="K49" s="27"/>
    </row>
    <row r="50" customFormat="false" ht="30" hidden="false" customHeight="true" outlineLevel="0" collapsed="false">
      <c r="A50" s="25"/>
      <c r="B50" s="25"/>
      <c r="C50" s="25"/>
      <c r="D50" s="25"/>
      <c r="E50" s="25"/>
      <c r="F50" s="25"/>
      <c r="G50" s="26"/>
      <c r="H50" s="33" t="str">
        <f aca="false">IF(OR(F50="",G50=""),"",IFERROR((G50-F50)/F50,""))</f>
        <v/>
      </c>
      <c r="I50" s="34" t="str">
        <f aca="false">IF(OR(F50="",G50=""),"",IF(E50="&lt;=",IF(G50&lt;=F50,"SI","NO"),IF(G50&gt;=F50,"SI","NO")))</f>
        <v/>
      </c>
      <c r="J50" s="25"/>
      <c r="K50" s="25"/>
    </row>
    <row r="51" customFormat="false" ht="30" hidden="false" customHeight="true" outlineLevel="0" collapsed="false">
      <c r="A51" s="27"/>
      <c r="B51" s="27"/>
      <c r="C51" s="27"/>
      <c r="D51" s="27"/>
      <c r="E51" s="27"/>
      <c r="F51" s="27"/>
      <c r="G51" s="28"/>
      <c r="H51" s="35" t="str">
        <f aca="false">IF(OR(F51="",G51=""),"",IFERROR((G51-F51)/F51,""))</f>
        <v/>
      </c>
      <c r="I51" s="36" t="str">
        <f aca="false">IF(OR(F51="",G51=""),"",IF(E51="&lt;=",IF(G51&lt;=F51,"SI","NO"),IF(G51&gt;=F51,"SI","NO")))</f>
        <v/>
      </c>
      <c r="J51" s="27"/>
      <c r="K51" s="27"/>
    </row>
    <row r="52" customFormat="false" ht="30" hidden="false" customHeight="true" outlineLevel="0" collapsed="false">
      <c r="A52" s="25"/>
      <c r="B52" s="25"/>
      <c r="C52" s="25"/>
      <c r="D52" s="25"/>
      <c r="E52" s="25"/>
      <c r="F52" s="25"/>
      <c r="G52" s="26"/>
      <c r="H52" s="33" t="str">
        <f aca="false">IF(OR(F52="",G52=""),"",IFERROR((G52-F52)/F52,""))</f>
        <v/>
      </c>
      <c r="I52" s="34" t="str">
        <f aca="false">IF(OR(F52="",G52=""),"",IF(E52="&lt;=",IF(G52&lt;=F52,"SI","NO"),IF(G52&gt;=F52,"SI","NO")))</f>
        <v/>
      </c>
      <c r="J52" s="25"/>
      <c r="K52" s="25"/>
    </row>
    <row r="53" customFormat="false" ht="30" hidden="false" customHeight="true" outlineLevel="0" collapsed="false">
      <c r="A53" s="27"/>
      <c r="B53" s="27"/>
      <c r="C53" s="27"/>
      <c r="D53" s="27"/>
      <c r="E53" s="27"/>
      <c r="F53" s="27"/>
      <c r="G53" s="28"/>
      <c r="H53" s="35" t="str">
        <f aca="false">IF(OR(F53="",G53=""),"",IFERROR((G53-F53)/F53,""))</f>
        <v/>
      </c>
      <c r="I53" s="36" t="str">
        <f aca="false">IF(OR(F53="",G53=""),"",IF(E53="&lt;=",IF(G53&lt;=F53,"SI","NO"),IF(G53&gt;=F53,"SI","NO")))</f>
        <v/>
      </c>
      <c r="J53" s="27"/>
      <c r="K53" s="27"/>
    </row>
    <row r="54" customFormat="false" ht="30" hidden="false" customHeight="true" outlineLevel="0" collapsed="false">
      <c r="A54" s="25"/>
      <c r="B54" s="25"/>
      <c r="C54" s="25"/>
      <c r="D54" s="25"/>
      <c r="E54" s="25"/>
      <c r="F54" s="25"/>
      <c r="G54" s="26"/>
      <c r="H54" s="33" t="str">
        <f aca="false">IF(OR(F54="",G54=""),"",IFERROR((G54-F54)/F54,""))</f>
        <v/>
      </c>
      <c r="I54" s="34" t="str">
        <f aca="false">IF(OR(F54="",G54=""),"",IF(E54="&lt;=",IF(G54&lt;=F54,"SI","NO"),IF(G54&gt;=F54,"SI","NO")))</f>
        <v/>
      </c>
      <c r="J54" s="25"/>
      <c r="K54" s="25"/>
    </row>
    <row r="55" customFormat="false" ht="30" hidden="false" customHeight="true" outlineLevel="0" collapsed="false">
      <c r="A55" s="27"/>
      <c r="B55" s="27"/>
      <c r="C55" s="27"/>
      <c r="D55" s="27"/>
      <c r="E55" s="27"/>
      <c r="F55" s="27"/>
      <c r="G55" s="28"/>
      <c r="H55" s="35" t="str">
        <f aca="false">IF(OR(F55="",G55=""),"",IFERROR((G55-F55)/F55,""))</f>
        <v/>
      </c>
      <c r="I55" s="36" t="str">
        <f aca="false">IF(OR(F55="",G55=""),"",IF(E55="&lt;=",IF(G55&lt;=F55,"SI","NO"),IF(G55&gt;=F55,"SI","NO")))</f>
        <v/>
      </c>
      <c r="J55" s="27"/>
      <c r="K55" s="27"/>
    </row>
    <row r="56" customFormat="false" ht="30" hidden="false" customHeight="true" outlineLevel="0" collapsed="false">
      <c r="A56" s="25"/>
      <c r="B56" s="25"/>
      <c r="C56" s="25"/>
      <c r="D56" s="25"/>
      <c r="E56" s="25"/>
      <c r="F56" s="25"/>
      <c r="G56" s="26"/>
      <c r="H56" s="33" t="str">
        <f aca="false">IF(OR(F56="",G56=""),"",IFERROR((G56-F56)/F56,""))</f>
        <v/>
      </c>
      <c r="I56" s="34" t="str">
        <f aca="false">IF(OR(F56="",G56=""),"",IF(E56="&lt;=",IF(G56&lt;=F56,"SI","NO"),IF(G56&gt;=F56,"SI","NO")))</f>
        <v/>
      </c>
      <c r="J56" s="25"/>
      <c r="K56" s="25"/>
    </row>
    <row r="57" customFormat="false" ht="30" hidden="false" customHeight="true" outlineLevel="0" collapsed="false">
      <c r="A57" s="27"/>
      <c r="B57" s="27"/>
      <c r="C57" s="27"/>
      <c r="D57" s="27"/>
      <c r="E57" s="27"/>
      <c r="F57" s="27"/>
      <c r="G57" s="28"/>
      <c r="H57" s="35" t="str">
        <f aca="false">IF(OR(F57="",G57=""),"",IFERROR((G57-F57)/F57,""))</f>
        <v/>
      </c>
      <c r="I57" s="36" t="str">
        <f aca="false">IF(OR(F57="",G57=""),"",IF(E57="&lt;=",IF(G57&lt;=F57,"SI","NO"),IF(G57&gt;=F57,"SI","NO")))</f>
        <v/>
      </c>
      <c r="J57" s="27"/>
      <c r="K57" s="27"/>
    </row>
    <row r="58" customFormat="false" ht="30" hidden="false" customHeight="true" outlineLevel="0" collapsed="false">
      <c r="A58" s="25"/>
      <c r="B58" s="25"/>
      <c r="C58" s="25"/>
      <c r="D58" s="25"/>
      <c r="E58" s="25"/>
      <c r="F58" s="25"/>
      <c r="G58" s="26"/>
      <c r="H58" s="33" t="str">
        <f aca="false">IF(OR(F58="",G58=""),"",IFERROR((G58-F58)/F58,""))</f>
        <v/>
      </c>
      <c r="I58" s="34" t="str">
        <f aca="false">IF(OR(F58="",G58=""),"",IF(E58="&lt;=",IF(G58&lt;=F58,"SI","NO"),IF(G58&gt;=F58,"SI","NO")))</f>
        <v/>
      </c>
      <c r="J58" s="25"/>
      <c r="K58" s="25"/>
    </row>
    <row r="59" customFormat="false" ht="30" hidden="false" customHeight="true" outlineLevel="0" collapsed="false">
      <c r="A59" s="27"/>
      <c r="B59" s="27"/>
      <c r="C59" s="27"/>
      <c r="D59" s="27"/>
      <c r="E59" s="27"/>
      <c r="F59" s="27"/>
      <c r="G59" s="28"/>
      <c r="H59" s="35" t="str">
        <f aca="false">IF(OR(F59="",G59=""),"",IFERROR((G59-F59)/F59,""))</f>
        <v/>
      </c>
      <c r="I59" s="36" t="str">
        <f aca="false">IF(OR(F59="",G59=""),"",IF(E59="&lt;=",IF(G59&lt;=F59,"SI","NO"),IF(G59&gt;=F59,"SI","NO")))</f>
        <v/>
      </c>
      <c r="J59" s="27"/>
      <c r="K59" s="27"/>
    </row>
    <row r="60" customFormat="false" ht="30" hidden="false" customHeight="true" outlineLevel="0" collapsed="false">
      <c r="A60" s="25"/>
      <c r="B60" s="25"/>
      <c r="C60" s="25"/>
      <c r="D60" s="25"/>
      <c r="E60" s="25"/>
      <c r="F60" s="25"/>
      <c r="G60" s="26"/>
      <c r="H60" s="33" t="str">
        <f aca="false">IF(OR(F60="",G60=""),"",IFERROR((G60-F60)/F60,""))</f>
        <v/>
      </c>
      <c r="I60" s="34" t="str">
        <f aca="false">IF(OR(F60="",G60=""),"",IF(E60="&lt;=",IF(G60&lt;=F60,"SI","NO"),IF(G60&gt;=F60,"SI","NO")))</f>
        <v/>
      </c>
      <c r="J60" s="25"/>
      <c r="K60" s="25"/>
    </row>
    <row r="61" customFormat="false" ht="30" hidden="false" customHeight="true" outlineLevel="0" collapsed="false">
      <c r="A61" s="27"/>
      <c r="B61" s="27"/>
      <c r="C61" s="27"/>
      <c r="D61" s="27"/>
      <c r="E61" s="27"/>
      <c r="F61" s="27"/>
      <c r="G61" s="28"/>
      <c r="H61" s="35" t="str">
        <f aca="false">IF(OR(F61="",G61=""),"",IFERROR((G61-F61)/F61,""))</f>
        <v/>
      </c>
      <c r="I61" s="36" t="str">
        <f aca="false">IF(OR(F61="",G61=""),"",IF(E61="&lt;=",IF(G61&lt;=F61,"SI","NO"),IF(G61&gt;=F61,"SI","NO")))</f>
        <v/>
      </c>
      <c r="J61" s="27"/>
      <c r="K61" s="27"/>
    </row>
    <row r="62" customFormat="false" ht="30" hidden="false" customHeight="true" outlineLevel="0" collapsed="false">
      <c r="A62" s="25"/>
      <c r="B62" s="25"/>
      <c r="C62" s="25"/>
      <c r="D62" s="25"/>
      <c r="E62" s="25"/>
      <c r="F62" s="25"/>
      <c r="G62" s="26"/>
      <c r="H62" s="33" t="str">
        <f aca="false">IF(OR(F62="",G62=""),"",IFERROR((G62-F62)/F62,""))</f>
        <v/>
      </c>
      <c r="I62" s="34" t="str">
        <f aca="false">IF(OR(F62="",G62=""),"",IF(E62="&lt;=",IF(G62&lt;=F62,"SI","NO"),IF(G62&gt;=F62,"SI","NO")))</f>
        <v/>
      </c>
      <c r="J62" s="25"/>
      <c r="K62" s="25"/>
    </row>
    <row r="63" customFormat="false" ht="30" hidden="false" customHeight="true" outlineLevel="0" collapsed="false">
      <c r="A63" s="27"/>
      <c r="B63" s="27"/>
      <c r="C63" s="27"/>
      <c r="D63" s="27"/>
      <c r="E63" s="27"/>
      <c r="F63" s="27"/>
      <c r="G63" s="28"/>
      <c r="H63" s="35" t="str">
        <f aca="false">IF(OR(F63="",G63=""),"",IFERROR((G63-F63)/F63,""))</f>
        <v/>
      </c>
      <c r="I63" s="36" t="str">
        <f aca="false">IF(OR(F63="",G63=""),"",IF(E63="&lt;=",IF(G63&lt;=F63,"SI","NO"),IF(G63&gt;=F63,"SI","NO")))</f>
        <v/>
      </c>
      <c r="J63" s="27"/>
      <c r="K63" s="27"/>
    </row>
    <row r="64" customFormat="false" ht="30" hidden="false" customHeight="true" outlineLevel="0" collapsed="false">
      <c r="A64" s="25"/>
      <c r="B64" s="25"/>
      <c r="C64" s="25"/>
      <c r="D64" s="25"/>
      <c r="E64" s="25"/>
      <c r="F64" s="25"/>
      <c r="G64" s="26"/>
      <c r="H64" s="33" t="str">
        <f aca="false">IF(OR(F64="",G64=""),"",IFERROR((G64-F64)/F64,""))</f>
        <v/>
      </c>
      <c r="I64" s="34" t="str">
        <f aca="false">IF(OR(F64="",G64=""),"",IF(E64="&lt;=",IF(G64&lt;=F64,"SI","NO"),IF(G64&gt;=F64,"SI","NO")))</f>
        <v/>
      </c>
      <c r="J64" s="25"/>
      <c r="K64" s="25"/>
    </row>
    <row r="65" customFormat="false" ht="30" hidden="false" customHeight="true" outlineLevel="0" collapsed="false">
      <c r="A65" s="27"/>
      <c r="B65" s="27"/>
      <c r="C65" s="27"/>
      <c r="D65" s="27"/>
      <c r="E65" s="27"/>
      <c r="F65" s="27"/>
      <c r="G65" s="28"/>
      <c r="H65" s="35" t="str">
        <f aca="false">IF(OR(F65="",G65=""),"",IFERROR((G65-F65)/F65,""))</f>
        <v/>
      </c>
      <c r="I65" s="36" t="str">
        <f aca="false">IF(OR(F65="",G65=""),"",IF(E65="&lt;=",IF(G65&lt;=F65,"SI","NO"),IF(G65&gt;=F65,"SI","NO")))</f>
        <v/>
      </c>
      <c r="J65" s="27"/>
      <c r="K65" s="27"/>
    </row>
    <row r="66" customFormat="false" ht="30" hidden="false" customHeight="true" outlineLevel="0" collapsed="false">
      <c r="A66" s="25"/>
      <c r="B66" s="25"/>
      <c r="C66" s="25"/>
      <c r="D66" s="25"/>
      <c r="E66" s="25"/>
      <c r="F66" s="25"/>
      <c r="G66" s="26"/>
      <c r="H66" s="33" t="str">
        <f aca="false">IF(OR(F66="",G66=""),"",IFERROR((G66-F66)/F66,""))</f>
        <v/>
      </c>
      <c r="I66" s="34" t="str">
        <f aca="false">IF(OR(F66="",G66=""),"",IF(E66="&lt;=",IF(G66&lt;=F66,"SI","NO"),IF(G66&gt;=F66,"SI","NO")))</f>
        <v/>
      </c>
      <c r="J66" s="25"/>
      <c r="K66" s="25"/>
    </row>
    <row r="67" customFormat="false" ht="30" hidden="false" customHeight="true" outlineLevel="0" collapsed="false"/>
  </sheetData>
  <mergeCells count="2">
    <mergeCell ref="A1:K1"/>
    <mergeCell ref="A6:K6"/>
  </mergeCells>
  <conditionalFormatting sqref="J8:J66">
    <cfRule type="cellIs" priority="2" operator="equal" aboveAverage="0" equalAverage="0" bottom="0" percent="0" rank="0" text="" dxfId="0">
      <formula>"APROBADA"</formula>
    </cfRule>
    <cfRule type="cellIs" priority="3" operator="equal" aboveAverage="0" equalAverage="0" bottom="0" percent="0" rank="0" text="" dxfId="1">
      <formula>"FALLIDA"</formula>
    </cfRule>
    <cfRule type="cellIs" priority="4" operator="equal" aboveAverage="0" equalAverage="0" bottom="0" percent="0" rank="0" text="" dxfId="2">
      <formula>"OBSERVACION"</formula>
    </cfRule>
    <cfRule type="cellIs" priority="5" operator="equal" aboveAverage="0" equalAverage="0" bottom="0" percent="0" rank="0" text="" dxfId="3">
      <formula>"BLOQUEADA"</formula>
    </cfRule>
  </conditionalFormatting>
  <conditionalFormatting sqref="I8:I66">
    <cfRule type="cellIs" priority="6" operator="equal" aboveAverage="0" equalAverage="0" bottom="0" percent="0" rank="0" text="" dxfId="0">
      <formula>"SI"</formula>
    </cfRule>
    <cfRule type="cellIs" priority="7" operator="equal" aboveAverage="0" equalAverage="0" bottom="0" percent="0" rank="0" text="" dxfId="1">
      <formula>"NO"</formula>
    </cfRule>
  </conditionalFormatting>
  <dataValidations count="2">
    <dataValidation allowBlank="true" error="Elija: APROBADA, FALLIDA, BLOQUEADA u OBSERVACION." errorStyle="stop" errorTitle="Estado no valido" operator="between" showDropDown="false" showErrorMessage="false" showInputMessage="false" sqref="J8:J66" type="list">
      <formula1>"APROBADA,FALLIDA,BLOQUEADA,OBSERVACION"</formula1>
      <formula2>0</formula2>
    </dataValidation>
    <dataValidation allowBlank="true" errorStyle="stop" operator="between" showDropDown="false" showErrorMessage="false" showInputMessage="false" sqref="E8:E66" type="list">
      <formula1>"&lt;=,&gt;="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4857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0" ySplit="7" topLeftCell="A8" activePane="bottomLeft" state="frozen"/>
      <selection pane="topLeft" activeCell="A1" activeCellId="0" sqref="A1"/>
      <selection pane="bottomLeft" activeCell="E9" activeCellId="0" sqref="E9"/>
    </sheetView>
  </sheetViews>
  <sheetFormatPr defaultColWidth="9.18359375" defaultRowHeight="14.25" zeroHeight="false" outlineLevelRow="0" outlineLevelCol="0"/>
  <cols>
    <col collapsed="false" customWidth="true" hidden="false" outlineLevel="0" max="3" min="1" style="15" width="11"/>
    <col collapsed="false" customWidth="true" hidden="false" outlineLevel="0" max="8" min="4" style="15" width="17.87"/>
    <col collapsed="false" customWidth="true" hidden="false" outlineLevel="0" max="9" min="9" style="15" width="31.55"/>
    <col collapsed="false" customWidth="true" hidden="false" outlineLevel="0" max="10" min="10" style="15" width="23.48"/>
  </cols>
  <sheetData>
    <row r="1" customFormat="false" ht="25.5" hidden="false" customHeight="true" outlineLevel="0" collapsed="false">
      <c r="A1" s="16" t="s">
        <v>290</v>
      </c>
      <c r="B1" s="16"/>
      <c r="C1" s="16"/>
      <c r="D1" s="16"/>
      <c r="E1" s="16"/>
      <c r="F1" s="16"/>
      <c r="G1" s="16"/>
      <c r="H1" s="16"/>
      <c r="I1" s="16"/>
      <c r="J1" s="16"/>
    </row>
    <row r="3" customFormat="false" ht="14.25" hidden="false" customHeight="false" outlineLevel="0" collapsed="false">
      <c r="A3" s="17" t="s">
        <v>245</v>
      </c>
      <c r="B3" s="32" t="s">
        <v>246</v>
      </c>
      <c r="I3" s="17" t="s">
        <v>63</v>
      </c>
      <c r="J3" s="32" t="s">
        <v>291</v>
      </c>
    </row>
    <row r="4" customFormat="false" ht="14.25" hidden="false" customHeight="false" outlineLevel="0" collapsed="false">
      <c r="A4" s="17" t="s">
        <v>58</v>
      </c>
      <c r="B4" s="32" t="s">
        <v>292</v>
      </c>
      <c r="I4" s="17" t="s">
        <v>293</v>
      </c>
      <c r="J4" s="32"/>
    </row>
    <row r="5" customFormat="false" ht="19.9" hidden="false" customHeight="true" outlineLevel="0" collapsed="false">
      <c r="A5" s="17" t="s">
        <v>294</v>
      </c>
      <c r="B5" s="32" t="s">
        <v>295</v>
      </c>
      <c r="I5" s="17" t="s">
        <v>60</v>
      </c>
      <c r="J5" s="32" t="s">
        <v>61</v>
      </c>
    </row>
    <row r="6" customFormat="false" ht="47.85" hidden="false" customHeight="true" outlineLevel="0" collapsed="false">
      <c r="A6" s="19" t="s">
        <v>296</v>
      </c>
      <c r="B6" s="19"/>
      <c r="C6" s="19"/>
      <c r="D6" s="19"/>
      <c r="E6" s="19"/>
      <c r="F6" s="19"/>
      <c r="G6" s="19"/>
      <c r="H6" s="19"/>
      <c r="I6" s="19"/>
      <c r="J6" s="19"/>
    </row>
    <row r="7" customFormat="false" ht="31.5" hidden="false" customHeight="true" outlineLevel="0" collapsed="false">
      <c r="A7" s="20" t="s">
        <v>297</v>
      </c>
      <c r="B7" s="20" t="s">
        <v>253</v>
      </c>
      <c r="C7" s="20" t="s">
        <v>298</v>
      </c>
      <c r="D7" s="20" t="s">
        <v>299</v>
      </c>
      <c r="E7" s="20" t="s">
        <v>300</v>
      </c>
      <c r="F7" s="20" t="s">
        <v>301</v>
      </c>
      <c r="G7" s="20" t="s">
        <v>302</v>
      </c>
      <c r="H7" s="20" t="s">
        <v>303</v>
      </c>
      <c r="I7" s="20" t="s">
        <v>260</v>
      </c>
      <c r="J7" s="20" t="s">
        <v>75</v>
      </c>
    </row>
    <row r="8" customFormat="false" ht="39.8" hidden="false" customHeight="true" outlineLevel="0" collapsed="false">
      <c r="A8" s="21" t="s">
        <v>304</v>
      </c>
      <c r="B8" s="21" t="n">
        <v>12</v>
      </c>
      <c r="C8" s="21" t="s">
        <v>305</v>
      </c>
      <c r="D8" s="22" t="n">
        <v>49.9</v>
      </c>
      <c r="E8" s="37" t="n">
        <v>1282</v>
      </c>
      <c r="F8" s="38" t="n">
        <v>0</v>
      </c>
      <c r="G8" s="22" t="n">
        <v>14</v>
      </c>
      <c r="H8" s="22" t="s">
        <v>306</v>
      </c>
      <c r="I8" s="25" t="s">
        <v>307</v>
      </c>
      <c r="J8" s="26" t="s">
        <v>85</v>
      </c>
    </row>
    <row r="9" customFormat="false" ht="39.8" hidden="false" customHeight="true" outlineLevel="0" collapsed="false">
      <c r="A9" s="23" t="s">
        <v>308</v>
      </c>
      <c r="B9" s="23" t="n">
        <v>184</v>
      </c>
      <c r="C9" s="23" t="s">
        <v>305</v>
      </c>
      <c r="D9" s="24" t="n">
        <v>69.8</v>
      </c>
      <c r="E9" s="39" t="n">
        <v>7938.9</v>
      </c>
      <c r="F9" s="40" t="n">
        <v>1.9</v>
      </c>
      <c r="G9" s="24" t="n">
        <v>14.8</v>
      </c>
      <c r="H9" s="24" t="s">
        <v>309</v>
      </c>
      <c r="I9" s="27" t="s">
        <v>310</v>
      </c>
      <c r="J9" s="28" t="s">
        <v>271</v>
      </c>
    </row>
    <row r="10" customFormat="false" ht="39.8" hidden="false" customHeight="true" outlineLevel="0" collapsed="false">
      <c r="A10" s="21" t="s">
        <v>311</v>
      </c>
      <c r="B10" s="21" t="n">
        <v>1228</v>
      </c>
      <c r="C10" s="21" t="s">
        <v>305</v>
      </c>
      <c r="D10" s="22" t="n">
        <v>27.1</v>
      </c>
      <c r="E10" s="37" t="n">
        <v>10001</v>
      </c>
      <c r="F10" s="38" t="n">
        <v>76.3</v>
      </c>
      <c r="G10" s="22" t="n">
        <v>16.4</v>
      </c>
      <c r="H10" s="22" t="s">
        <v>312</v>
      </c>
      <c r="I10" s="25" t="s">
        <v>313</v>
      </c>
      <c r="J10" s="26" t="s">
        <v>232</v>
      </c>
    </row>
    <row r="11" customFormat="false" ht="39.8" hidden="false" customHeight="true" outlineLevel="0" collapsed="false">
      <c r="A11" s="23" t="s">
        <v>314</v>
      </c>
      <c r="B11" s="23" t="n">
        <v>2330</v>
      </c>
      <c r="C11" s="23" t="s">
        <v>305</v>
      </c>
      <c r="D11" s="24" t="n">
        <v>0</v>
      </c>
      <c r="E11" s="39" t="n">
        <v>10000.8</v>
      </c>
      <c r="F11" s="40" t="n">
        <v>100</v>
      </c>
      <c r="G11" s="24" t="s">
        <v>315</v>
      </c>
      <c r="H11" s="24" t="s">
        <v>315</v>
      </c>
      <c r="I11" s="27" t="s">
        <v>316</v>
      </c>
      <c r="J11" s="28" t="s">
        <v>232</v>
      </c>
    </row>
    <row r="12" customFormat="false" ht="39.8" hidden="false" customHeight="true" outlineLevel="0" collapsed="false">
      <c r="A12" s="21" t="s">
        <v>317</v>
      </c>
      <c r="B12" s="21" t="n">
        <v>2852</v>
      </c>
      <c r="C12" s="21" t="s">
        <v>305</v>
      </c>
      <c r="D12" s="22" t="n">
        <v>0</v>
      </c>
      <c r="E12" s="37" t="n">
        <v>10000.4</v>
      </c>
      <c r="F12" s="38" t="n">
        <v>100</v>
      </c>
      <c r="G12" s="22" t="s">
        <v>315</v>
      </c>
      <c r="H12" s="22" t="s">
        <v>315</v>
      </c>
      <c r="I12" s="25" t="s">
        <v>318</v>
      </c>
      <c r="J12" s="26" t="s">
        <v>232</v>
      </c>
    </row>
    <row r="13" customFormat="false" ht="47.25" hidden="false" customHeight="true" outlineLevel="0" collapsed="false">
      <c r="A13" s="23" t="s">
        <v>319</v>
      </c>
      <c r="B13" s="23" t="n">
        <v>800</v>
      </c>
      <c r="C13" s="23" t="s">
        <v>320</v>
      </c>
      <c r="D13" s="24"/>
      <c r="E13" s="39"/>
      <c r="F13" s="40"/>
      <c r="G13" s="24"/>
      <c r="H13" s="24"/>
      <c r="I13" s="27" t="s">
        <v>321</v>
      </c>
      <c r="J13" s="28" t="s">
        <v>322</v>
      </c>
    </row>
    <row r="14" customFormat="false" ht="52.85" hidden="false" customHeight="true" outlineLevel="0" collapsed="false">
      <c r="A14" s="21" t="s">
        <v>323</v>
      </c>
      <c r="B14" s="21" t="n">
        <v>100</v>
      </c>
      <c r="C14" s="21" t="s">
        <v>324</v>
      </c>
      <c r="D14" s="22"/>
      <c r="E14" s="37" t="s">
        <v>325</v>
      </c>
      <c r="F14" s="38" t="s">
        <v>326</v>
      </c>
      <c r="G14" s="22" t="s">
        <v>327</v>
      </c>
      <c r="H14" s="22" t="s">
        <v>328</v>
      </c>
      <c r="I14" s="25" t="s">
        <v>329</v>
      </c>
      <c r="J14" s="26" t="s">
        <v>271</v>
      </c>
    </row>
    <row r="15" customFormat="false" ht="30" hidden="false" customHeight="true" outlineLevel="0" collapsed="false">
      <c r="A15" s="27"/>
      <c r="B15" s="27"/>
      <c r="C15" s="27"/>
      <c r="D15" s="28"/>
      <c r="E15" s="41"/>
      <c r="F15" s="42"/>
      <c r="G15" s="28"/>
      <c r="H15" s="28"/>
      <c r="I15" s="27"/>
      <c r="J15" s="28"/>
    </row>
    <row r="18" customFormat="false" ht="14.25" hidden="false" customHeight="false" outlineLevel="0" collapsed="false">
      <c r="A18" s="43" t="s">
        <v>330</v>
      </c>
    </row>
    <row r="19" customFormat="false" ht="14.25" hidden="false" customHeight="true" outlineLevel="0" collapsed="false">
      <c r="A19" s="20" t="s">
        <v>331</v>
      </c>
      <c r="B19" s="20" t="s">
        <v>332</v>
      </c>
      <c r="C19" s="20"/>
      <c r="D19" s="20"/>
      <c r="E19" s="20"/>
      <c r="F19" s="20" t="s">
        <v>333</v>
      </c>
      <c r="G19" s="20"/>
      <c r="H19" s="20"/>
      <c r="I19" s="20"/>
      <c r="J19" s="20"/>
    </row>
    <row r="20" customFormat="false" ht="48.5" hidden="false" customHeight="true" outlineLevel="0" collapsed="false">
      <c r="A20" s="23" t="s">
        <v>334</v>
      </c>
      <c r="B20" s="24" t="s">
        <v>335</v>
      </c>
      <c r="C20" s="24"/>
      <c r="D20" s="24"/>
      <c r="E20" s="24"/>
      <c r="F20" s="24" t="s">
        <v>336</v>
      </c>
      <c r="G20" s="24"/>
      <c r="H20" s="24"/>
      <c r="I20" s="24"/>
      <c r="J20" s="24"/>
    </row>
    <row r="21" customFormat="false" ht="48.5" hidden="false" customHeight="true" outlineLevel="0" collapsed="false">
      <c r="A21" s="23" t="s">
        <v>337</v>
      </c>
      <c r="B21" s="24" t="s">
        <v>338</v>
      </c>
      <c r="C21" s="24"/>
      <c r="D21" s="24"/>
      <c r="E21" s="24"/>
      <c r="F21" s="24" t="s">
        <v>339</v>
      </c>
      <c r="G21" s="24"/>
      <c r="H21" s="24"/>
      <c r="I21" s="24"/>
      <c r="J21" s="24"/>
    </row>
    <row r="22" customFormat="false" ht="48.5" hidden="false" customHeight="true" outlineLevel="0" collapsed="false">
      <c r="A22" s="23" t="s">
        <v>340</v>
      </c>
      <c r="B22" s="24" t="s">
        <v>341</v>
      </c>
      <c r="C22" s="24"/>
      <c r="D22" s="24"/>
      <c r="E22" s="24"/>
      <c r="F22" s="24" t="s">
        <v>342</v>
      </c>
      <c r="G22" s="24"/>
      <c r="H22" s="24"/>
      <c r="I22" s="24"/>
      <c r="J22" s="24"/>
    </row>
    <row r="23" customFormat="false" ht="48.5" hidden="false" customHeight="true" outlineLevel="0" collapsed="false">
      <c r="A23" s="23" t="s">
        <v>343</v>
      </c>
      <c r="B23" s="24" t="s">
        <v>344</v>
      </c>
      <c r="C23" s="24"/>
      <c r="D23" s="24"/>
      <c r="E23" s="24"/>
      <c r="F23" s="24" t="s">
        <v>345</v>
      </c>
      <c r="G23" s="24"/>
      <c r="H23" s="24"/>
      <c r="I23" s="24"/>
      <c r="J23" s="24"/>
    </row>
    <row r="24" customFormat="false" ht="48.5" hidden="false" customHeight="true" outlineLevel="0" collapsed="false">
      <c r="A24" s="23" t="s">
        <v>346</v>
      </c>
      <c r="B24" s="24" t="s">
        <v>347</v>
      </c>
      <c r="C24" s="24"/>
      <c r="D24" s="24"/>
      <c r="E24" s="24"/>
      <c r="F24" s="24" t="s">
        <v>348</v>
      </c>
      <c r="G24" s="24"/>
      <c r="H24" s="24"/>
      <c r="I24" s="24"/>
      <c r="J24" s="24"/>
    </row>
    <row r="1048576" customFormat="false" ht="12.8" hidden="false" customHeight="false" outlineLevel="0" collapsed="false"/>
  </sheetData>
  <mergeCells count="14">
    <mergeCell ref="A1:J1"/>
    <mergeCell ref="A6:J6"/>
    <mergeCell ref="B19:E19"/>
    <mergeCell ref="F19:J19"/>
    <mergeCell ref="B20:E20"/>
    <mergeCell ref="F20:J20"/>
    <mergeCell ref="B21:E21"/>
    <mergeCell ref="F21:J21"/>
    <mergeCell ref="B22:E22"/>
    <mergeCell ref="F22:J22"/>
    <mergeCell ref="B23:E23"/>
    <mergeCell ref="F23:J23"/>
    <mergeCell ref="B24:E24"/>
    <mergeCell ref="F24:J24"/>
  </mergeCells>
  <conditionalFormatting sqref="J8:J15">
    <cfRule type="cellIs" priority="2" operator="equal" aboveAverage="0" equalAverage="0" bottom="0" percent="0" rank="0" text="" dxfId="0">
      <formula>"APROBADA"</formula>
    </cfRule>
    <cfRule type="cellIs" priority="3" operator="equal" aboveAverage="0" equalAverage="0" bottom="0" percent="0" rank="0" text="" dxfId="1">
      <formula>"FALLIDA"</formula>
    </cfRule>
    <cfRule type="cellIs" priority="4" operator="equal" aboveAverage="0" equalAverage="0" bottom="0" percent="0" rank="0" text="" dxfId="2">
      <formula>"OBSERVACION"</formula>
    </cfRule>
    <cfRule type="cellIs" priority="5" operator="equal" aboveAverage="0" equalAverage="0" bottom="0" percent="0" rank="0" text="" dxfId="3">
      <formula>"BLOQUEADA"</formula>
    </cfRule>
  </conditionalFormatting>
  <dataValidations count="1">
    <dataValidation allowBlank="true" error="Elija: APROBADA, FALLIDA, BLOQUEADA u OBSERVACION." errorStyle="stop" errorTitle="Estado no valido" operator="between" showDropDown="false" showErrorMessage="false" showInputMessage="false" sqref="J8:J15" type="list">
      <formula1>"APROBADA,FALLIDA,BLOQUEADA,OBSERVACION"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5"/>
  <sheetViews>
    <sheetView showFormulas="false" showGridLines="false" showRowColHeaders="true" showZeros="true" rightToLeft="false" tabSelected="false" showOutlineSymbols="true" defaultGridColor="true" view="normal" topLeftCell="A4" colorId="64" zoomScale="120" zoomScaleNormal="120" zoomScalePageLayoutView="100" workbookViewId="0">
      <selection pane="topLeft" activeCell="I6" activeCellId="0" sqref="I6"/>
    </sheetView>
  </sheetViews>
  <sheetFormatPr defaultColWidth="9.18359375" defaultRowHeight="14.25" zeroHeight="false" outlineLevelRow="0" outlineLevelCol="0"/>
  <cols>
    <col collapsed="false" customWidth="true" hidden="false" outlineLevel="0" max="1" min="1" style="15" width="3"/>
    <col collapsed="false" customWidth="true" hidden="false" outlineLevel="0" max="2" min="2" style="15" width="33"/>
    <col collapsed="false" customWidth="true" hidden="false" outlineLevel="0" max="3" min="3" style="15" width="12"/>
    <col collapsed="false" customWidth="true" hidden="false" outlineLevel="0" max="4" min="4" style="15" width="13"/>
    <col collapsed="false" customWidth="true" hidden="false" outlineLevel="0" max="5" min="5" style="15" width="11"/>
    <col collapsed="false" customWidth="true" hidden="false" outlineLevel="0" max="6" min="6" style="15" width="12"/>
    <col collapsed="false" customWidth="true" hidden="false" outlineLevel="0" max="7" min="7" style="15" width="16"/>
    <col collapsed="false" customWidth="true" hidden="false" outlineLevel="0" max="8" min="8" style="15" width="12"/>
  </cols>
  <sheetData>
    <row r="2" customFormat="false" ht="25.5" hidden="false" customHeight="true" outlineLevel="0" collapsed="false">
      <c r="B2" s="16" t="s">
        <v>349</v>
      </c>
      <c r="C2" s="16"/>
      <c r="D2" s="16"/>
      <c r="E2" s="16"/>
      <c r="F2" s="16"/>
      <c r="G2" s="16"/>
      <c r="H2" s="16"/>
    </row>
    <row r="4" customFormat="false" ht="14.25" hidden="false" customHeight="false" outlineLevel="0" collapsed="false">
      <c r="B4" s="44"/>
      <c r="C4" s="44"/>
      <c r="D4" s="44"/>
      <c r="E4" s="44"/>
      <c r="F4" s="44"/>
      <c r="G4" s="44"/>
      <c r="H4" s="44"/>
    </row>
    <row r="6" customFormat="false" ht="30" hidden="false" customHeight="true" outlineLevel="0" collapsed="false">
      <c r="B6" s="20" t="s">
        <v>350</v>
      </c>
      <c r="C6" s="20" t="s">
        <v>351</v>
      </c>
      <c r="D6" s="20" t="s">
        <v>260</v>
      </c>
      <c r="E6" s="20" t="s">
        <v>352</v>
      </c>
      <c r="F6" s="20" t="s">
        <v>353</v>
      </c>
      <c r="G6" s="20" t="s">
        <v>354</v>
      </c>
      <c r="H6" s="20" t="s">
        <v>355</v>
      </c>
    </row>
    <row r="7" customFormat="false" ht="19.5" hidden="false" customHeight="true" outlineLevel="0" collapsed="false">
      <c r="B7" s="45" t="s">
        <v>356</v>
      </c>
      <c r="C7" s="23" t="n">
        <f aca="false">COUNTIF('M1 Unitarias'!$H$8:$H$66,"APROBADA")</f>
        <v>10</v>
      </c>
      <c r="D7" s="23" t="n">
        <f aca="false">COUNTIF('M1 Unitarias'!$H$8:$H$66,"OBSERVACION")</f>
        <v>0</v>
      </c>
      <c r="E7" s="23" t="n">
        <f aca="false">COUNTIF('M1 Unitarias'!$H$8:$H$66,"FALLIDA")</f>
        <v>0</v>
      </c>
      <c r="F7" s="23" t="n">
        <f aca="false">COUNTIF('M1 Unitarias'!$H$8:$H$66,"BLOQUEADA")</f>
        <v>0</v>
      </c>
      <c r="G7" s="23" t="n">
        <f aca="false">SUM(C7:F7)</f>
        <v>10</v>
      </c>
      <c r="H7" s="46" t="n">
        <f aca="false">IFERROR((C7+D7)/G7,0)</f>
        <v>1</v>
      </c>
    </row>
    <row r="8" customFormat="false" ht="19.5" hidden="false" customHeight="true" outlineLevel="0" collapsed="false">
      <c r="B8" s="45" t="s">
        <v>357</v>
      </c>
      <c r="C8" s="23" t="n">
        <f aca="false">COUNTIF('M2 Integracion'!$H$8:$H$66,"APROBADA")</f>
        <v>11</v>
      </c>
      <c r="D8" s="23" t="n">
        <f aca="false">COUNTIF('M2 Integracion'!$H$8:$H$66,"OBSERVACION")</f>
        <v>0</v>
      </c>
      <c r="E8" s="23" t="n">
        <f aca="false">COUNTIF('M2 Integracion'!$H$8:$H$66,"FALLIDA")</f>
        <v>1</v>
      </c>
      <c r="F8" s="23" t="n">
        <f aca="false">COUNTIF('M2 Integracion'!$H$8:$H$66,"BLOQUEADA")</f>
        <v>0</v>
      </c>
      <c r="G8" s="23" t="n">
        <f aca="false">SUM(C8:F8)</f>
        <v>12</v>
      </c>
      <c r="H8" s="46" t="n">
        <f aca="false">IFERROR((C8+D8)/G8,0)</f>
        <v>0.916666666666667</v>
      </c>
    </row>
    <row r="9" customFormat="false" ht="19.5" hidden="false" customHeight="true" outlineLevel="0" collapsed="false">
      <c r="B9" s="45" t="s">
        <v>358</v>
      </c>
      <c r="C9" s="23" t="n">
        <f aca="false">COUNTIF('M3 Carga'!$J$8:$J$66,"APROBADA")</f>
        <v>1</v>
      </c>
      <c r="D9" s="23" t="n">
        <f aca="false">COUNTIF('M3 Carga'!$J$8:$J$66,"OBSERVACION")</f>
        <v>7</v>
      </c>
      <c r="E9" s="23" t="n">
        <f aca="false">COUNTIF('M3 Carga'!$J$8:$J$66,"FALLIDA")</f>
        <v>2</v>
      </c>
      <c r="F9" s="23" t="n">
        <f aca="false">COUNTIF('M3 Carga'!$J$8:$J$66,"BLOQUEADA")</f>
        <v>0</v>
      </c>
      <c r="G9" s="23" t="n">
        <f aca="false">SUM(C9:F9)</f>
        <v>10</v>
      </c>
      <c r="H9" s="46" t="n">
        <f aca="false">IFERROR((C9+D9)/G9,0)</f>
        <v>0.8</v>
      </c>
    </row>
    <row r="10" customFormat="false" ht="19.5" hidden="false" customHeight="true" outlineLevel="0" collapsed="false">
      <c r="B10" s="45" t="s">
        <v>359</v>
      </c>
      <c r="C10" s="23" t="n">
        <f aca="false">COUNTIF('M4 Estres'!$J$8:$J$15,"APROBADA")</f>
        <v>1</v>
      </c>
      <c r="D10" s="23" t="n">
        <f aca="false">COUNTIF('M4 Estres'!$J$8:$J$15,"OBSERVACION")</f>
        <v>2</v>
      </c>
      <c r="E10" s="23" t="n">
        <f aca="false">COUNTIF('M4 Estres'!$J$8:$J$15,"FALLIDA")</f>
        <v>3</v>
      </c>
      <c r="F10" s="23" t="n">
        <f aca="false">COUNTIF('M4 Estres'!$J$8:$J$15,"BLOQUEADA")</f>
        <v>1</v>
      </c>
      <c r="G10" s="23" t="n">
        <f aca="false">SUM(C10:F10)</f>
        <v>7</v>
      </c>
      <c r="H10" s="46" t="n">
        <f aca="false">IFERROR((C10+D10)/G10,0)</f>
        <v>0.428571428571429</v>
      </c>
    </row>
    <row r="11" customFormat="false" ht="14.25" hidden="false" customHeight="false" outlineLevel="0" collapsed="false">
      <c r="B11" s="47" t="s">
        <v>360</v>
      </c>
      <c r="C11" s="20" t="n">
        <f aca="false">SUM(C7:C10)</f>
        <v>23</v>
      </c>
      <c r="D11" s="20" t="n">
        <f aca="false">SUM(D7:D10)</f>
        <v>9</v>
      </c>
      <c r="E11" s="20" t="n">
        <f aca="false">SUM(E7:E10)</f>
        <v>6</v>
      </c>
      <c r="F11" s="20" t="n">
        <f aca="false">SUM(F7:F10)</f>
        <v>1</v>
      </c>
      <c r="G11" s="20" t="n">
        <f aca="false">SUM(G7:G10)</f>
        <v>39</v>
      </c>
      <c r="H11" s="48" t="n">
        <f aca="false">IFERROR((C11+D11)/G11,0)</f>
        <v>0.820512820512821</v>
      </c>
    </row>
    <row r="13" customFormat="false" ht="24" hidden="false" customHeight="true" outlineLevel="0" collapsed="false">
      <c r="B13" s="43" t="s">
        <v>361</v>
      </c>
      <c r="C13" s="49" t="str">
        <f aca="false">IF(G11=0,"SIN EJECUTAR - todavia no se ha registrado ningun resultado",IF(E11&gt;0,"NO LIBERAR - hay "&amp;E11&amp;" prueba(s) fallida(s)",IF(F11&gt;0,"REVISAR - hay "&amp;F11&amp;" prueba(s) bloqueada(s)",IF(D11&gt;0,"LIBERAR CON OBSERVACIONES - "&amp;D11&amp;" hallazgo(s) a vigilar","LIBERAR - todas las pruebas aprobadas"))))</f>
        <v>NO LIBERAR - hay 6 prueba(s) fallida(s)</v>
      </c>
      <c r="D13" s="49"/>
      <c r="E13" s="49"/>
      <c r="F13" s="49"/>
      <c r="G13" s="49"/>
      <c r="H13" s="49"/>
    </row>
    <row r="14" customFormat="false" ht="14.25" hidden="false" customHeight="false" outlineLevel="0" collapsed="false">
      <c r="C14" s="50" t="s">
        <v>362</v>
      </c>
      <c r="D14" s="50" t="s">
        <v>363</v>
      </c>
      <c r="E14" s="50" t="s">
        <v>364</v>
      </c>
      <c r="F14" s="50" t="s">
        <v>365</v>
      </c>
      <c r="G14" s="50" t="s">
        <v>366</v>
      </c>
      <c r="H14" s="50" t="s">
        <v>367</v>
      </c>
    </row>
    <row r="15" customFormat="false" ht="16.4" hidden="false" customHeight="false" outlineLevel="0" collapsed="false">
      <c r="B15" s="51" t="s">
        <v>368</v>
      </c>
      <c r="C15" s="23" t="n">
        <f aca="false">COUNTA('M1 Unitarias'!$A$8:$A$66)</f>
        <v>10</v>
      </c>
      <c r="D15" s="23" t="n">
        <f aca="false">COUNTA('M2 Integracion'!$A$8:$A$66)</f>
        <v>12</v>
      </c>
      <c r="E15" s="23" t="n">
        <f aca="false">COUNTA('M3 Carga'!$A$8:$A$66)</f>
        <v>10</v>
      </c>
      <c r="F15" s="23" t="n">
        <f aca="false">COUNTA('M4 Estres'!$A$8:$A$15)</f>
        <v>7</v>
      </c>
      <c r="G15" s="23" t="n">
        <f aca="false">SUM(C15:F15)</f>
        <v>39</v>
      </c>
      <c r="H15" s="52" t="n">
        <f aca="false">IFERROR(G11/G15,0)</f>
        <v>1</v>
      </c>
    </row>
  </sheetData>
  <mergeCells count="3">
    <mergeCell ref="B2:H2"/>
    <mergeCell ref="B4:H4"/>
    <mergeCell ref="C13:H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6"/>
  <sheetViews>
    <sheetView showFormulas="false" showGridLines="false" showRowColHeaders="true" showZeros="true" rightToLeft="false" tabSelected="false" showOutlineSymbols="true" defaultGridColor="true" view="normal" topLeftCell="A1" colorId="64" zoomScale="120" zoomScaleNormal="120" zoomScalePageLayoutView="100" workbookViewId="0">
      <selection pane="topLeft" activeCell="D27" activeCellId="0" sqref="D27"/>
    </sheetView>
  </sheetViews>
  <sheetFormatPr defaultColWidth="9.18359375" defaultRowHeight="14.25" zeroHeight="false" outlineLevelRow="0" outlineLevelCol="0"/>
  <cols>
    <col collapsed="false" customWidth="true" hidden="false" outlineLevel="0" max="1" min="1" style="15" width="3"/>
    <col collapsed="false" customWidth="true" hidden="false" outlineLevel="0" max="2" min="2" style="15" width="38"/>
    <col collapsed="false" customWidth="true" hidden="false" outlineLevel="0" max="3" min="3" style="15" width="24"/>
    <col collapsed="false" customWidth="true" hidden="false" outlineLevel="0" max="4" min="4" style="15" width="30"/>
    <col collapsed="false" customWidth="true" hidden="false" outlineLevel="0" max="5" min="5" style="15" width="30.54"/>
  </cols>
  <sheetData>
    <row r="2" customFormat="false" ht="25.5" hidden="false" customHeight="true" outlineLevel="0" collapsed="false">
      <c r="B2" s="16" t="s">
        <v>369</v>
      </c>
      <c r="C2" s="16"/>
      <c r="D2" s="16"/>
      <c r="E2" s="16"/>
    </row>
    <row r="4" customFormat="false" ht="14.25" hidden="false" customHeight="false" outlineLevel="0" collapsed="false">
      <c r="B4" s="44"/>
      <c r="C4" s="44"/>
      <c r="D4" s="44"/>
      <c r="E4" s="44"/>
    </row>
    <row r="6" customFormat="false" ht="25.5" hidden="false" customHeight="true" outlineLevel="0" collapsed="false">
      <c r="B6" s="20" t="s">
        <v>255</v>
      </c>
      <c r="C6" s="20" t="s">
        <v>370</v>
      </c>
      <c r="D6" s="20" t="s">
        <v>74</v>
      </c>
      <c r="E6" s="20" t="s">
        <v>259</v>
      </c>
    </row>
    <row r="7" customFormat="false" ht="23.6" hidden="false" customHeight="false" outlineLevel="0" collapsed="false">
      <c r="B7" s="53" t="s">
        <v>371</v>
      </c>
      <c r="C7" s="54" t="s">
        <v>372</v>
      </c>
      <c r="D7" s="55" t="s">
        <v>373</v>
      </c>
      <c r="E7" s="24" t="s">
        <v>374</v>
      </c>
    </row>
    <row r="8" customFormat="false" ht="23.6" hidden="false" customHeight="false" outlineLevel="0" collapsed="false">
      <c r="B8" s="53" t="s">
        <v>375</v>
      </c>
      <c r="C8" s="54" t="s">
        <v>376</v>
      </c>
      <c r="D8" s="55" t="s">
        <v>377</v>
      </c>
      <c r="E8" s="24" t="s">
        <v>378</v>
      </c>
    </row>
    <row r="9" customFormat="false" ht="14.25" hidden="false" customHeight="false" outlineLevel="0" collapsed="false">
      <c r="B9" s="53" t="s">
        <v>379</v>
      </c>
      <c r="C9" s="54" t="s">
        <v>380</v>
      </c>
      <c r="D9" s="55" t="s">
        <v>381</v>
      </c>
      <c r="E9" s="24" t="s">
        <v>378</v>
      </c>
    </row>
    <row r="10" customFormat="false" ht="23.6" hidden="false" customHeight="false" outlineLevel="0" collapsed="false">
      <c r="B10" s="53" t="s">
        <v>382</v>
      </c>
      <c r="C10" s="54" t="s">
        <v>383</v>
      </c>
      <c r="D10" s="55" t="s">
        <v>384</v>
      </c>
      <c r="E10" s="24" t="s">
        <v>378</v>
      </c>
    </row>
    <row r="11" customFormat="false" ht="23.6" hidden="false" customHeight="false" outlineLevel="0" collapsed="false">
      <c r="B11" s="53" t="s">
        <v>385</v>
      </c>
      <c r="C11" s="54" t="s">
        <v>386</v>
      </c>
      <c r="D11" s="55" t="s">
        <v>387</v>
      </c>
      <c r="E11" s="24" t="s">
        <v>378</v>
      </c>
    </row>
    <row r="12" customFormat="false" ht="23.6" hidden="false" customHeight="false" outlineLevel="0" collapsed="false">
      <c r="B12" s="53" t="s">
        <v>388</v>
      </c>
      <c r="C12" s="54" t="s">
        <v>389</v>
      </c>
      <c r="D12" s="55" t="s">
        <v>390</v>
      </c>
      <c r="E12" s="24" t="s">
        <v>378</v>
      </c>
    </row>
    <row r="13" customFormat="false" ht="14.25" hidden="false" customHeight="false" outlineLevel="0" collapsed="false">
      <c r="B13" s="53" t="s">
        <v>391</v>
      </c>
      <c r="C13" s="54" t="s">
        <v>392</v>
      </c>
      <c r="D13" s="55" t="s">
        <v>393</v>
      </c>
      <c r="E13" s="24" t="s">
        <v>374</v>
      </c>
    </row>
    <row r="14" customFormat="false" ht="23.6" hidden="false" customHeight="false" outlineLevel="0" collapsed="false">
      <c r="B14" s="53" t="s">
        <v>394</v>
      </c>
      <c r="C14" s="54" t="s">
        <v>395</v>
      </c>
      <c r="D14" s="55" t="s">
        <v>396</v>
      </c>
      <c r="E14" s="24" t="s">
        <v>378</v>
      </c>
    </row>
    <row r="15" customFormat="false" ht="23.6" hidden="false" customHeight="false" outlineLevel="0" collapsed="false">
      <c r="B15" s="53" t="s">
        <v>397</v>
      </c>
      <c r="C15" s="54" t="s">
        <v>386</v>
      </c>
      <c r="D15" s="55" t="s">
        <v>398</v>
      </c>
      <c r="E15" s="24" t="s">
        <v>374</v>
      </c>
    </row>
    <row r="16" customFormat="false" ht="23.6" hidden="false" customHeight="false" outlineLevel="0" collapsed="false">
      <c r="B16" s="53" t="s">
        <v>399</v>
      </c>
      <c r="C16" s="54" t="s">
        <v>386</v>
      </c>
      <c r="D16" s="55" t="s">
        <v>400</v>
      </c>
      <c r="E16" s="24" t="s">
        <v>374</v>
      </c>
    </row>
    <row r="17" customFormat="false" ht="23.6" hidden="false" customHeight="false" outlineLevel="0" collapsed="false">
      <c r="B17" s="53" t="s">
        <v>401</v>
      </c>
      <c r="C17" s="54" t="s">
        <v>402</v>
      </c>
      <c r="D17" s="55" t="s">
        <v>403</v>
      </c>
      <c r="E17" s="24" t="s">
        <v>374</v>
      </c>
    </row>
    <row r="18" customFormat="false" ht="34.8" hidden="false" customHeight="false" outlineLevel="0" collapsed="false">
      <c r="B18" s="53" t="s">
        <v>404</v>
      </c>
      <c r="C18" s="54" t="s">
        <v>405</v>
      </c>
      <c r="D18" s="55" t="s">
        <v>406</v>
      </c>
      <c r="E18" s="24" t="s">
        <v>378</v>
      </c>
    </row>
    <row r="19" customFormat="false" ht="14.25" hidden="false" customHeight="false" outlineLevel="0" collapsed="false">
      <c r="B19" s="53" t="s">
        <v>407</v>
      </c>
      <c r="C19" s="54" t="s">
        <v>386</v>
      </c>
      <c r="D19" s="55" t="s">
        <v>408</v>
      </c>
      <c r="E19" s="24" t="s">
        <v>374</v>
      </c>
    </row>
    <row r="21" customFormat="false" ht="14.25" hidden="false" customHeight="false" outlineLevel="0" collapsed="false">
      <c r="B21" s="51" t="s">
        <v>409</v>
      </c>
      <c r="C21" s="56" t="str">
        <f aca="false">COUNTIF(E7:E19,"SI")&amp;" de 13"</f>
        <v>6 de 13</v>
      </c>
    </row>
    <row r="22" customFormat="false" ht="24" hidden="false" customHeight="true" outlineLevel="0" collapsed="false">
      <c r="B22" s="51" t="s">
        <v>410</v>
      </c>
      <c r="C22" s="49" t="str">
        <f aca="false">IF(COUNTIF(E7:E19,"&lt;&gt;")=0,"SIN EVALUAR",IF(COUNTIF(E7:E19,"NO")&gt;0,"NO APROBADO - "&amp;COUNTIF(E7:E19,"NO")&amp;" criterio(s) sin cumplir","APROBADO"))</f>
        <v>NO APROBADO - 7 criterio(s) sin cumplir</v>
      </c>
      <c r="D22" s="49"/>
      <c r="E22" s="49"/>
    </row>
    <row r="24" customFormat="false" ht="14.25" hidden="false" customHeight="false" outlineLevel="0" collapsed="false">
      <c r="B24" s="17" t="s">
        <v>411</v>
      </c>
      <c r="C24" s="32" t="s">
        <v>412</v>
      </c>
    </row>
    <row r="25" customFormat="false" ht="14.25" hidden="false" customHeight="false" outlineLevel="0" collapsed="false">
      <c r="B25" s="17" t="s">
        <v>413</v>
      </c>
      <c r="C25" s="32" t="s">
        <v>414</v>
      </c>
    </row>
    <row r="26" customFormat="false" ht="14.25" hidden="false" customHeight="false" outlineLevel="0" collapsed="false">
      <c r="B26" s="17" t="s">
        <v>415</v>
      </c>
      <c r="C26" s="32" t="s">
        <v>62</v>
      </c>
    </row>
  </sheetData>
  <mergeCells count="3">
    <mergeCell ref="B2:E2"/>
    <mergeCell ref="B4:E4"/>
    <mergeCell ref="C22:E22"/>
  </mergeCells>
  <conditionalFormatting sqref="E7:E19">
    <cfRule type="cellIs" priority="2" operator="equal" aboveAverage="0" equalAverage="0" bottom="0" percent="0" rank="0" text="" dxfId="0">
      <formula>"SI"</formula>
    </cfRule>
    <cfRule type="cellIs" priority="3" operator="equal" aboveAverage="0" equalAverage="0" bottom="0" percent="0" rank="0" text="" dxfId="1">
      <formula>"NO"</formula>
    </cfRule>
  </conditionalFormatting>
  <dataValidations count="1">
    <dataValidation allowBlank="true" errorStyle="stop" operator="between" showDropDown="false" showErrorMessage="false" showInputMessage="false" sqref="E7:E19" type="list">
      <formula1>"SI,NO"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2026-08-10T03:38:54Z</dcterms:created>
  <dc:creator>openpyxl</dc:creator>
  <dc:description/>
  <dc:language>en-US</dc:language>
  <cp:lastModifiedBy/>
  <dcterms:modified xsi:type="dcterms:W3CDTF">2026-08-31T19:16:47Z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